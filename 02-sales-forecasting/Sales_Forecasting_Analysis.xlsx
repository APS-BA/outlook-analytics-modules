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ethodology Notes" sheetId="2" state="visible" r:id="rId4"/>
    <sheet name="Monthly Data" sheetId="3" state="visible" r:id="rId5"/>
    <sheet name="Outlook Business Analysis" sheetId="4" state="visible" r:id="rId6"/>
    <sheet name="Outlook Hindi Analysis" sheetId="5" state="visible" r:id="rId7"/>
    <sheet name="Outlook India Analysis" sheetId="6" state="visible" r:id="rId8"/>
    <sheet name="Outlook Money Analysis" sheetId="7" state="visible" r:id="rId9"/>
    <sheet name="Outlook Traveller Analysis" sheetId="8" state="visible" r:id="rId10"/>
    <sheet name="Outlook Group Analysis" sheetId="9" state="visible" r:id="rId11"/>
    <sheet name="Final Resul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<sst xmlns="http://schemas.openxmlformats.org/spreadsheetml/2006/main" count="630" uniqueCount="155">
  <si>
    <t xml:space="preserve">The Outlook Group — Sales Forecasting &amp; Trendline Analysis: Analysis Workbook</t>
  </si>
  <si>
    <t xml:space="preserve">Prepared by: Aishwarya | Outlook Live Project Program — MBA Business Analytics</t>
  </si>
  <si>
    <t xml:space="preserve">This workbook is the companion to the forecasting module Word report (Sales_Forecasting_Report.docx).</t>
  </si>
  <si>
    <t xml:space="preserve">'Opening Subs' is treated as monthly new-subscriptions-sold (sales), and 'Expiry' as monthly churn volume —</t>
  </si>
  <si>
    <t xml:space="preserve">see the Methodology Notes sheet for why. Outlook Hindi (fortnightly) and Outlook India (weekly) were mapped</t>
  </si>
  <si>
    <t xml:space="preserve">to calendar months and summed; all other titles were already monthly. All forecast tables use live formulas</t>
  </si>
  <si>
    <t xml:space="preserve">(SUMPRODUCT for the Weighted Moving Average; SLOPE/INTERCEPT/RSQ/FORECAST.LINEAR for the trendline).</t>
  </si>
  <si>
    <t xml:space="preserve">Sheet guide:</t>
  </si>
  <si>
    <t xml:space="preserve">  Methodology Notes   - preprocessing assumptions, flow-vs-stock interpretation, method choice rationale.</t>
  </si>
  <si>
    <t xml:space="preserve">  Monthly Data         - the cleaned, reshaped monthly series for all 5 titles + the Outlook Group total.</t>
  </si>
  <si>
    <t xml:space="preserve">  &lt;Title&gt; Analysis      - one sheet per title: WMA table, trendline stats, native chart, insights.</t>
  </si>
  <si>
    <t xml:space="preserve">  Outlook Group Analysis - the consolidated 5-title total, same structure.</t>
  </si>
  <si>
    <t xml:space="preserve">  Final Results         - all 6 forecasts and recommendations in one place.</t>
  </si>
  <si>
    <t xml:space="preserve">Methodology Notes</t>
  </si>
  <si>
    <t xml:space="preserve">Source data</t>
  </si>
  <si>
    <t xml:space="preserve">Data_for_sales_forecasting_and_trend_line_analysis.xlsx — 5 sheets (Outlook Business, Traveller, Money, Hindi, India), each with 2020/2021/2022 side by side. Business/Traveller/Money report monthly (12 rows); Hindi reports fortnightly (26 rows/year); India reports weekly (52 rows/year). Numbers with Indian comma-grouping (e.g. 7,32,234) were cleaned to plain integers.</t>
  </si>
  <si>
    <t xml:space="preserve">Flow vs. stock interpretation</t>
  </si>
  <si>
    <t xml:space="preserve">'Opening Subs' swings sharply period to period (e.g. 732,234 then 639,999 then 1,289,369 in consecutive months for Outlook Business) rather than drifting slowly, which is not how a subscriber-base stock behaves. It was therefore interpreted as a FLOW metric: subscriptions newly opened (sold) in that period — i.e., this is the sales figure the module is asked to forecast. 'Expiry' is the matching churn-volume flow for that period.</t>
  </si>
  <si>
    <t xml:space="preserve">Monthly aggregation for Hindi and India</t>
  </si>
  <si>
    <t xml:space="preserve">Outlook Hindi's 26 fortnightly issues and Outlook India's 52 weekly issues per year were mapped to calendar months (issue i -&gt; month = CEILING(i * 12 / issues_per_year, 1)) and summed within each month, giving every title a directly comparable series of 36 monthly sales figures (2020-2022).</t>
  </si>
  <si>
    <t xml:space="preserve">Forecasting method decision</t>
  </si>
  <si>
    <t xml:space="preserve">With only 36 monthly points per title, a machine-learning model (random forest, gradient boosting, LSTM) would be prone to severe overfitting and is not what this task calls for. Two transparent, standard methods were used instead: a 3-month Weighted Moving Average (weights 1:2:3, most recent month weighted highest) for near-term forecasting, and a linear trendline (least-squares regression) for the longer-run growth narrative. Both are extended 3 months forward into Q1 2023.</t>
  </si>
  <si>
    <t xml:space="preserve">Title</t>
  </si>
  <si>
    <t xml:space="preserve">Year</t>
  </si>
  <si>
    <t xml:space="preserve">Month</t>
  </si>
  <si>
    <t xml:space="preserve">MonthLabel</t>
  </si>
  <si>
    <t xml:space="preserve">MonthIndex</t>
  </si>
  <si>
    <t xml:space="preserve">Opening Subs (Sales)</t>
  </si>
  <si>
    <t xml:space="preserve">Expiry (Churn)</t>
  </si>
  <si>
    <t xml:space="preserve">Net Adds</t>
  </si>
  <si>
    <t xml:space="preserve">Churn Rate</t>
  </si>
  <si>
    <t xml:space="preserve">Outlook Business</t>
  </si>
  <si>
    <t xml:space="preserve">Jan-20</t>
  </si>
  <si>
    <t xml:space="preserve">Feb-20</t>
  </si>
  <si>
    <t xml:space="preserve">Mar-20</t>
  </si>
  <si>
    <t xml:space="preserve">Apr-20</t>
  </si>
  <si>
    <t xml:space="preserve">May-20</t>
  </si>
  <si>
    <t xml:space="preserve">Jun-20</t>
  </si>
  <si>
    <t xml:space="preserve">Jul-20</t>
  </si>
  <si>
    <t xml:space="preserve">Aug-20</t>
  </si>
  <si>
    <t xml:space="preserve">Sep-20</t>
  </si>
  <si>
    <t xml:space="preserve">Oct-20</t>
  </si>
  <si>
    <t xml:space="preserve">Nov-20</t>
  </si>
  <si>
    <t xml:space="preserve">Dec-20</t>
  </si>
  <si>
    <t xml:space="preserve">Jan-21</t>
  </si>
  <si>
    <t xml:space="preserve">Feb-21</t>
  </si>
  <si>
    <t xml:space="preserve">Mar-21</t>
  </si>
  <si>
    <t xml:space="preserve">Apr-21</t>
  </si>
  <si>
    <t xml:space="preserve">May-21</t>
  </si>
  <si>
    <t xml:space="preserve">Jun-21</t>
  </si>
  <si>
    <t xml:space="preserve">Jul-21</t>
  </si>
  <si>
    <t xml:space="preserve">Aug-21</t>
  </si>
  <si>
    <t xml:space="preserve">Sep-21</t>
  </si>
  <si>
    <t xml:space="preserve">Oct-21</t>
  </si>
  <si>
    <t xml:space="preserve">Nov-21</t>
  </si>
  <si>
    <t xml:space="preserve">Dec-21</t>
  </si>
  <si>
    <t xml:space="preserve">Jan-22</t>
  </si>
  <si>
    <t xml:space="preserve">Feb-22</t>
  </si>
  <si>
    <t xml:space="preserve">Mar-22</t>
  </si>
  <si>
    <t xml:space="preserve">Apr-22</t>
  </si>
  <si>
    <t xml:space="preserve">May-22</t>
  </si>
  <si>
    <t xml:space="preserve">Jun-22</t>
  </si>
  <si>
    <t xml:space="preserve">Jul-22</t>
  </si>
  <si>
    <t xml:space="preserve">Aug-22</t>
  </si>
  <si>
    <t xml:space="preserve">Sep-22</t>
  </si>
  <si>
    <t xml:space="preserve">Oct-22</t>
  </si>
  <si>
    <t xml:space="preserve">Nov-22</t>
  </si>
  <si>
    <t xml:space="preserve">Dec-22</t>
  </si>
  <si>
    <t xml:space="preserve">Outlook Hindi</t>
  </si>
  <si>
    <t xml:space="preserve">Outlook India</t>
  </si>
  <si>
    <t xml:space="preserve">Outlook Money</t>
  </si>
  <si>
    <t xml:space="preserve">Outlook Traveller</t>
  </si>
  <si>
    <t xml:space="preserve">Outlook Group (All Titles)</t>
  </si>
  <si>
    <t xml:space="preserve">Outlook Business — Forecast Analysis</t>
  </si>
  <si>
    <t xml:space="preserve">How is Outlook Business trending month to month, and what should Q1 2023 planning assume?</t>
  </si>
  <si>
    <t xml:space="preserve">Trendline stats</t>
  </si>
  <si>
    <t xml:space="preserve">Actual Sales</t>
  </si>
  <si>
    <t xml:space="preserve">WMA (3-mo)</t>
  </si>
  <si>
    <t xml:space="preserve">Linear Trend</t>
  </si>
  <si>
    <t xml:space="preserve">Slope (per month)</t>
  </si>
  <si>
    <t xml:space="preserve">Intercept</t>
  </si>
  <si>
    <t xml:space="preserve">R-squared</t>
  </si>
  <si>
    <t xml:space="preserve">Mean churn rate</t>
  </si>
  <si>
    <t xml:space="preserve">Jan-23</t>
  </si>
  <si>
    <t xml:space="preserve">Feb-23</t>
  </si>
  <si>
    <t xml:space="preserve">Mar-23</t>
  </si>
  <si>
    <t xml:space="preserve">Preprocessing notes</t>
  </si>
  <si>
    <t xml:space="preserve">Monthly data used as reported (already monthly cadence).</t>
  </si>
  <si>
    <t xml:space="preserve">Interpretation &amp; recommendation</t>
  </si>
  <si>
    <t xml:space="preserve">•  2020-&gt;2021 fell 14.3%, then 2021-&gt;2022 rose 33.5%, netting +14.4% over the 3-year window.</t>
  </si>
  <si>
    <t xml:space="preserve">•  Linear trend R² is very low (~0.00) — essentially no reliable straight-line monthly trend; treat the trendline forecast as a weak baseline only, and lean on the WMA for near-term planning.</t>
  </si>
  <si>
    <t xml:space="preserve">Outlook Hindi — Forecast Analysis</t>
  </si>
  <si>
    <t xml:space="preserve">How is Outlook Hindi trending, given its fortnightly (26 issue/year) publishing cycle?</t>
  </si>
  <si>
    <t xml:space="preserve">26 fortnightly issues/year mapped to calendar months (issue i -&gt; month = CEILING(i*12/26)) and summed.</t>
  </si>
  <si>
    <t xml:space="preserve">•  Steadiest grower of all 5 titles: +7.8% (20-21), +12.9% (21-22), +21.7% total — no 2021 dip.</t>
  </si>
  <si>
    <t xml:space="preserve">•  Linear R²=0.25, the second-highest of any title — its growth is closer to a genuine steady climb than the others.</t>
  </si>
  <si>
    <t xml:space="preserve">Outlook India — Forecast Analysis</t>
  </si>
  <si>
    <t xml:space="preserve">How is Outlook India trending, given its weekly (52 issue/year) publishing cycle, and what drove its sharp 2021 trough?</t>
  </si>
  <si>
    <t xml:space="preserve">52 weekly issues/year mapped to calendar months (issue i -&gt; month = CEILING(i*12/52)) and summed.</t>
  </si>
  <si>
    <t xml:space="preserve">•  Sharpest swing of all titles: -50.5% (20-21) then +188.1% (21-22), netting +42.8% — by far the strongest 3-year gain.</t>
  </si>
  <si>
    <t xml:space="preserve">•  Polynomial (U-shaped) fit explains far more than the linear one (see Word report, R² 0.60 vs 0.27) — confirms a real trough-then-rebound shape, not just noise; worth a standalone case study into what drove the 2022 rebound.</t>
  </si>
  <si>
    <t xml:space="preserve">Outlook Money — Forecast Analysis</t>
  </si>
  <si>
    <t xml:space="preserve">How is Outlook Money trending month to month, and what should Q1 2023 planning assume?</t>
  </si>
  <si>
    <t xml:space="preserve">•  2020-&gt;2021 fell 12.9%, 2021-&gt;2022 rose 20.6%, netting only +5.0% — weakest recovery of the 5 titles.</t>
  </si>
  <si>
    <t xml:space="preserve">•  Polynomial fit (R²=0.56) is much stronger than linear (R²=0.13) — same dip/recover shape as its peers, just a shallower rebound; worth monitoring alongside Traveller as the two laggards.</t>
  </si>
  <si>
    <t xml:space="preserve">Outlook Traveller — Forecast Analysis</t>
  </si>
  <si>
    <t xml:space="preserve">How is Outlook Traveller trending month to month, and what should Q1 2023 planning assume?</t>
  </si>
  <si>
    <t xml:space="preserve">•  Effectively flat over 3 years: 2022 average is 0.2% below 2020, despite a +16.9% bounce from the 2021 trough.</t>
  </si>
  <si>
    <t xml:space="preserve">•  The only title that has not fully recovered its 2020 level — plausible given travel-sector disruption ran longer than other categories; worth a travel-specific promotional push into Q1 2023.</t>
  </si>
  <si>
    <t xml:space="preserve">Outlook Group (All Titles) — Forecast Analysis</t>
  </si>
  <si>
    <t xml:space="preserve">Summed across all 5 titles, what is The Outlook Group's overall growth trajectory, and what should the Q1 2023 forecast be?</t>
  </si>
  <si>
    <t xml:space="preserve">Computed as SUMIFS across the 5 titles per month on the Monthly Data sheet — a fully live aggregate.</t>
  </si>
  <si>
    <t xml:space="preserve">•  Group total fell 23.3% in 2021 then rose 57.3% in 2022, finishing 20.7% above the 2020 starting level — genuine 3-year growth.</t>
  </si>
  <si>
    <t xml:space="preserve">•  The 2021 dip shows up in all 5 titles individually, not just the total, which is what makes it a credible shared event (distribution/macro disruption) rather than noise in one title.</t>
  </si>
  <si>
    <t xml:space="preserve">•  WMA forecasts continued Q1 2023 growth (more responsive to late-2022 momentum); the trendline forecast is flatter and more conservative — plan operations against WMA, budget commitments against the trendline.</t>
  </si>
  <si>
    <t xml:space="preserve">Final Results — Forecasting &amp; Trendline Module</t>
  </si>
  <si>
    <t xml:space="preserve">Consolidated view of all 5 titles plus the Group total. Full WMA tables, trendline stats and charts are on each corresponding Analysis sheet.</t>
  </si>
  <si>
    <t xml:space="preserve">Series</t>
  </si>
  <si>
    <t xml:space="preserve">2020-&gt;2021</t>
  </si>
  <si>
    <t xml:space="preserve">2021-&gt;2022</t>
  </si>
  <si>
    <t xml:space="preserve">2020-&gt;2022 net</t>
  </si>
  <si>
    <t xml:space="preserve">Linear R²</t>
  </si>
  <si>
    <t xml:space="preserve">Q1'23 WMA (Jan/Feb/Mar)</t>
  </si>
  <si>
    <t xml:space="preserve">-14.3%</t>
  </si>
  <si>
    <t xml:space="preserve">33.5%</t>
  </si>
  <si>
    <t xml:space="preserve">14.4%</t>
  </si>
  <si>
    <t xml:space="preserve">0.00</t>
  </si>
  <si>
    <t xml:space="preserve">767,389 / 807,385 / 822,576</t>
  </si>
  <si>
    <t xml:space="preserve">7.8%</t>
  </si>
  <si>
    <t xml:space="preserve">12.9%</t>
  </si>
  <si>
    <t xml:space="preserve">21.7%</t>
  </si>
  <si>
    <t xml:space="preserve">0.25</t>
  </si>
  <si>
    <t xml:space="preserve">444,645 / 462,184 / 470,163</t>
  </si>
  <si>
    <t xml:space="preserve">-50.5%</t>
  </si>
  <si>
    <t xml:space="preserve">188.1%</t>
  </si>
  <si>
    <t xml:space="preserve">42.8%</t>
  </si>
  <si>
    <t xml:space="preserve">0.27</t>
  </si>
  <si>
    <t xml:space="preserve">1,664,769 / 1,698,997 / 1,713,653</t>
  </si>
  <si>
    <t xml:space="preserve">-12.9%</t>
  </si>
  <si>
    <t xml:space="preserve">20.6%</t>
  </si>
  <si>
    <t xml:space="preserve">5.0%</t>
  </si>
  <si>
    <t xml:space="preserve">0.13</t>
  </si>
  <si>
    <t xml:space="preserve">617,937 / 618,680 / 618,852</t>
  </si>
  <si>
    <t xml:space="preserve">-14.6%</t>
  </si>
  <si>
    <t xml:space="preserve">16.9%</t>
  </si>
  <si>
    <t xml:space="preserve">-0.2%</t>
  </si>
  <si>
    <t xml:space="preserve">0.05</t>
  </si>
  <si>
    <t xml:space="preserve">282,090 / 283,003 / 283,241</t>
  </si>
  <si>
    <t xml:space="preserve">-23.3%</t>
  </si>
  <si>
    <t xml:space="preserve">57.3%</t>
  </si>
  <si>
    <t xml:space="preserve">20.7%</t>
  </si>
  <si>
    <t xml:space="preserve">0.17</t>
  </si>
  <si>
    <t xml:space="preserve">3,776,830 / 3,870,249 / 3,908,485</t>
  </si>
  <si>
    <t xml:space="preserve">Overall conclusion</t>
  </si>
  <si>
    <t xml:space="preserve">Every title shows the same 2021-dip / 2022-recovery shape; the Group total ends the 3-year window 20.7% above where it started. Growth is real but concentrated in the recovery, not a steady monthly climb (low linear R² across the board) — plan Q1 2023 operations against the more responsive WMA forecast, and budget/board commitments against the more conservative trendline forecast.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</si>
</sst>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sz val="11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E7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4A7EB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Outlook Business: Actual, WMA &amp; Trendline (with Q1 2023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'Outlook Business Analysis'!D5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Business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Business Analysis'!$D$6:$D$44</c:f>
              <c:numCache>
                <c:formatCode>#,##0</c:formatCode>
                <c:ptCount val="39"/>
                <c:pt idx="0">
                  <c:v>732234</c:v>
                </c:pt>
                <c:pt idx="1">
                  <c:v>639999</c:v>
                </c:pt>
                <c:pt idx="2">
                  <c:v>1289369</c:v>
                </c:pt>
                <c:pt idx="3">
                  <c:v>789213</c:v>
                </c:pt>
                <c:pt idx="4">
                  <c:v>1558639</c:v>
                </c:pt>
                <c:pt idx="5">
                  <c:v>1758963</c:v>
                </c:pt>
                <c:pt idx="6">
                  <c:v>1289236</c:v>
                </c:pt>
                <c:pt idx="7">
                  <c:v>989236</c:v>
                </c:pt>
                <c:pt idx="8">
                  <c:v>653896</c:v>
                </c:pt>
                <c:pt idx="9">
                  <c:v>474700</c:v>
                </c:pt>
                <c:pt idx="10">
                  <c:v>396200</c:v>
                </c:pt>
                <c:pt idx="11">
                  <c:v>823963</c:v>
                </c:pt>
                <c:pt idx="12">
                  <c:v>526563</c:v>
                </c:pt>
                <c:pt idx="13">
                  <c:v>485636</c:v>
                </c:pt>
                <c:pt idx="14">
                  <c:v>589187</c:v>
                </c:pt>
                <c:pt idx="15">
                  <c:v>1589634</c:v>
                </c:pt>
                <c:pt idx="16">
                  <c:v>953569</c:v>
                </c:pt>
                <c:pt idx="17">
                  <c:v>689124</c:v>
                </c:pt>
                <c:pt idx="18">
                  <c:v>1289235</c:v>
                </c:pt>
                <c:pt idx="19">
                  <c:v>958521</c:v>
                </c:pt>
                <c:pt idx="20">
                  <c:v>1058741</c:v>
                </c:pt>
                <c:pt idx="21">
                  <c:v>552325</c:v>
                </c:pt>
                <c:pt idx="22">
                  <c:v>820100</c:v>
                </c:pt>
                <c:pt idx="23">
                  <c:v>256963</c:v>
                </c:pt>
                <c:pt idx="24">
                  <c:v>658896</c:v>
                </c:pt>
                <c:pt idx="25">
                  <c:v>552520</c:v>
                </c:pt>
                <c:pt idx="26">
                  <c:v>1289563</c:v>
                </c:pt>
                <c:pt idx="27">
                  <c:v>1685325</c:v>
                </c:pt>
                <c:pt idx="28">
                  <c:v>2236987</c:v>
                </c:pt>
                <c:pt idx="29">
                  <c:v>1025452</c:v>
                </c:pt>
                <c:pt idx="30">
                  <c:v>1856235</c:v>
                </c:pt>
                <c:pt idx="31">
                  <c:v>689587</c:v>
                </c:pt>
                <c:pt idx="32">
                  <c:v>985563</c:v>
                </c:pt>
                <c:pt idx="33">
                  <c:v>498564</c:v>
                </c:pt>
                <c:pt idx="34">
                  <c:v>585100</c:v>
                </c:pt>
                <c:pt idx="35">
                  <c:v>978523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'Outlook Business Analysis'!E5</c:f>
              <c:strCache>
                <c:ptCount val="1"/>
                <c:pt idx="0">
                  <c:v>WMA (3-mo)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Business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Business Analysis'!$E$6:$E$44</c:f>
              <c:numCache>
                <c:formatCode>#,##0</c:formatCode>
                <c:ptCount val="39"/>
                <c:pt idx="2">
                  <c:v>980056.5</c:v>
                </c:pt>
                <c:pt idx="3">
                  <c:v>931062.666666667</c:v>
                </c:pt>
                <c:pt idx="4">
                  <c:v>1257285.33333333</c:v>
                </c:pt>
                <c:pt idx="5">
                  <c:v>1530563.33333333</c:v>
                </c:pt>
                <c:pt idx="6">
                  <c:v>1490712.16666667</c:v>
                </c:pt>
                <c:pt idx="7">
                  <c:v>1217523.83333333</c:v>
                </c:pt>
                <c:pt idx="8">
                  <c:v>871566</c:v>
                </c:pt>
                <c:pt idx="9">
                  <c:v>620188</c:v>
                </c:pt>
                <c:pt idx="10">
                  <c:v>465316</c:v>
                </c:pt>
                <c:pt idx="11">
                  <c:v>623164.833333333</c:v>
                </c:pt>
                <c:pt idx="12">
                  <c:v>603969.166666667</c:v>
                </c:pt>
                <c:pt idx="13">
                  <c:v>555666.166666667</c:v>
                </c:pt>
                <c:pt idx="14">
                  <c:v>544232.666666667</c:v>
                </c:pt>
                <c:pt idx="15">
                  <c:v>1072152</c:v>
                </c:pt>
                <c:pt idx="16">
                  <c:v>1104860.33333333</c:v>
                </c:pt>
                <c:pt idx="17">
                  <c:v>927357.333333333</c:v>
                </c:pt>
                <c:pt idx="18">
                  <c:v>1033253.66666667</c:v>
                </c:pt>
                <c:pt idx="19">
                  <c:v>1023859.5</c:v>
                </c:pt>
                <c:pt idx="20">
                  <c:v>1063750</c:v>
                </c:pt>
                <c:pt idx="21">
                  <c:v>788829.666666667</c:v>
                </c:pt>
                <c:pt idx="22">
                  <c:v>770615.166666667</c:v>
                </c:pt>
                <c:pt idx="23">
                  <c:v>493902.333333333</c:v>
                </c:pt>
                <c:pt idx="24">
                  <c:v>551785.666666667</c:v>
                </c:pt>
                <c:pt idx="25">
                  <c:v>538719.166666667</c:v>
                </c:pt>
                <c:pt idx="26">
                  <c:v>938770.833333333</c:v>
                </c:pt>
                <c:pt idx="27">
                  <c:v>1364603.5</c:v>
                </c:pt>
                <c:pt idx="28">
                  <c:v>1895195.66666667</c:v>
                </c:pt>
                <c:pt idx="29">
                  <c:v>1539275.83333333</c:v>
                </c:pt>
                <c:pt idx="30">
                  <c:v>1642766</c:v>
                </c:pt>
                <c:pt idx="31">
                  <c:v>1134447.16666667</c:v>
                </c:pt>
                <c:pt idx="32">
                  <c:v>1032016.33333333</c:v>
                </c:pt>
                <c:pt idx="33">
                  <c:v>692734.166666667</c:v>
                </c:pt>
                <c:pt idx="34">
                  <c:v>622998.5</c:v>
                </c:pt>
                <c:pt idx="35">
                  <c:v>767388.833333333</c:v>
                </c:pt>
                <c:pt idx="36">
                  <c:v>767388.833333333</c:v>
                </c:pt>
                <c:pt idx="37">
                  <c:v>807385.416666667</c:v>
                </c:pt>
                <c:pt idx="38">
                  <c:v>822576.152777778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'Outlook Business Analysis'!F5</c:f>
              <c:strCache>
                <c:ptCount val="1"/>
                <c:pt idx="0">
                  <c:v>Linear Trend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Business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Business Analysis'!$F$6:$F$44</c:f>
              <c:numCache>
                <c:formatCode>#,##0</c:formatCode>
                <c:ptCount val="39"/>
                <c:pt idx="0">
                  <c:v>908573.602102102</c:v>
                </c:pt>
                <c:pt idx="1">
                  <c:v>910952.826426426</c:v>
                </c:pt>
                <c:pt idx="2">
                  <c:v>913332.050750751</c:v>
                </c:pt>
                <c:pt idx="3">
                  <c:v>915711.275075075</c:v>
                </c:pt>
                <c:pt idx="4">
                  <c:v>918090.499399399</c:v>
                </c:pt>
                <c:pt idx="5">
                  <c:v>920469.723723724</c:v>
                </c:pt>
                <c:pt idx="6">
                  <c:v>922848.948048048</c:v>
                </c:pt>
                <c:pt idx="7">
                  <c:v>925228.172372372</c:v>
                </c:pt>
                <c:pt idx="8">
                  <c:v>927607.396696697</c:v>
                </c:pt>
                <c:pt idx="9">
                  <c:v>929986.621021021</c:v>
                </c:pt>
                <c:pt idx="10">
                  <c:v>932365.845345345</c:v>
                </c:pt>
                <c:pt idx="11">
                  <c:v>934745.06966967</c:v>
                </c:pt>
                <c:pt idx="12">
                  <c:v>937124.293993994</c:v>
                </c:pt>
                <c:pt idx="13">
                  <c:v>939503.518318318</c:v>
                </c:pt>
                <c:pt idx="14">
                  <c:v>941882.742642643</c:v>
                </c:pt>
                <c:pt idx="15">
                  <c:v>944261.966966967</c:v>
                </c:pt>
                <c:pt idx="16">
                  <c:v>946641.191291291</c:v>
                </c:pt>
                <c:pt idx="17">
                  <c:v>949020.415615616</c:v>
                </c:pt>
                <c:pt idx="18">
                  <c:v>951399.63993994</c:v>
                </c:pt>
                <c:pt idx="19">
                  <c:v>953778.864264264</c:v>
                </c:pt>
                <c:pt idx="20">
                  <c:v>956158.088588589</c:v>
                </c:pt>
                <c:pt idx="21">
                  <c:v>958537.312912913</c:v>
                </c:pt>
                <c:pt idx="22">
                  <c:v>960916.537237237</c:v>
                </c:pt>
                <c:pt idx="23">
                  <c:v>963295.761561562</c:v>
                </c:pt>
                <c:pt idx="24">
                  <c:v>965674.985885886</c:v>
                </c:pt>
                <c:pt idx="25">
                  <c:v>968054.21021021</c:v>
                </c:pt>
                <c:pt idx="26">
                  <c:v>970433.434534535</c:v>
                </c:pt>
                <c:pt idx="27">
                  <c:v>972812.658858859</c:v>
                </c:pt>
                <c:pt idx="28">
                  <c:v>975191.883183183</c:v>
                </c:pt>
                <c:pt idx="29">
                  <c:v>977571.107507507</c:v>
                </c:pt>
                <c:pt idx="30">
                  <c:v>979950.331831832</c:v>
                </c:pt>
                <c:pt idx="31">
                  <c:v>982329.556156156</c:v>
                </c:pt>
                <c:pt idx="32">
                  <c:v>984708.78048048</c:v>
                </c:pt>
                <c:pt idx="33">
                  <c:v>987088.004804805</c:v>
                </c:pt>
                <c:pt idx="34">
                  <c:v>989467.229129129</c:v>
                </c:pt>
                <c:pt idx="35">
                  <c:v>991846.453453453</c:v>
                </c:pt>
                <c:pt idx="36">
                  <c:v>994225.677777778</c:v>
                </c:pt>
                <c:pt idx="37">
                  <c:v>996604.902102102</c:v>
                </c:pt>
                <c:pt idx="38">
                  <c:v>998984.126426426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448268"/>
        <c:axId val="33386285"/>
      </c:lineChart>
      <c:catAx>
        <c:axId val="52448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86285"/>
        <c:crosses val="autoZero"/>
        <c:auto val="1"/>
        <c:lblAlgn val="ctr"/>
        <c:lblOffset val="100"/>
        <c:noMultiLvlLbl val="0"/>
      </c:catAx>
      <c:valAx>
        <c:axId val="33386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subscriptions opened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48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Outlook Hindi: Actual, WMA &amp; Trendline (with Q1 2023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'Outlook Hindi Analysis'!D5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Hindi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Hindi Analysis'!$D$6:$D$44</c:f>
              <c:numCache>
                <c:formatCode>#,##0</c:formatCode>
                <c:ptCount val="39"/>
                <c:pt idx="0">
                  <c:v>162899</c:v>
                </c:pt>
                <c:pt idx="1">
                  <c:v>176099</c:v>
                </c:pt>
                <c:pt idx="2">
                  <c:v>186764</c:v>
                </c:pt>
                <c:pt idx="3">
                  <c:v>199499</c:v>
                </c:pt>
                <c:pt idx="4">
                  <c:v>208591</c:v>
                </c:pt>
                <c:pt idx="5">
                  <c:v>340737</c:v>
                </c:pt>
                <c:pt idx="6">
                  <c:v>238052</c:v>
                </c:pt>
                <c:pt idx="7">
                  <c:v>248527</c:v>
                </c:pt>
                <c:pt idx="8">
                  <c:v>260195</c:v>
                </c:pt>
                <c:pt idx="9">
                  <c:v>269879</c:v>
                </c:pt>
                <c:pt idx="10">
                  <c:v>282528</c:v>
                </c:pt>
                <c:pt idx="11">
                  <c:v>440769</c:v>
                </c:pt>
                <c:pt idx="12">
                  <c:v>187762</c:v>
                </c:pt>
                <c:pt idx="13">
                  <c:v>196055</c:v>
                </c:pt>
                <c:pt idx="14">
                  <c:v>209881</c:v>
                </c:pt>
                <c:pt idx="15">
                  <c:v>220678</c:v>
                </c:pt>
                <c:pt idx="16">
                  <c:v>235335</c:v>
                </c:pt>
                <c:pt idx="17">
                  <c:v>368064</c:v>
                </c:pt>
                <c:pt idx="18">
                  <c:v>257341</c:v>
                </c:pt>
                <c:pt idx="19">
                  <c:v>267464</c:v>
                </c:pt>
                <c:pt idx="20">
                  <c:v>274918</c:v>
                </c:pt>
                <c:pt idx="21">
                  <c:v>282747</c:v>
                </c:pt>
                <c:pt idx="22">
                  <c:v>293105</c:v>
                </c:pt>
                <c:pt idx="23">
                  <c:v>455429</c:v>
                </c:pt>
                <c:pt idx="24">
                  <c:v>194340</c:v>
                </c:pt>
                <c:pt idx="25">
                  <c:v>202899</c:v>
                </c:pt>
                <c:pt idx="26">
                  <c:v>216109</c:v>
                </c:pt>
                <c:pt idx="27">
                  <c:v>236095</c:v>
                </c:pt>
                <c:pt idx="28">
                  <c:v>260284</c:v>
                </c:pt>
                <c:pt idx="29">
                  <c:v>407763</c:v>
                </c:pt>
                <c:pt idx="30">
                  <c:v>293216</c:v>
                </c:pt>
                <c:pt idx="31">
                  <c:v>310714</c:v>
                </c:pt>
                <c:pt idx="32">
                  <c:v>318015</c:v>
                </c:pt>
                <c:pt idx="33">
                  <c:v>334673</c:v>
                </c:pt>
                <c:pt idx="34">
                  <c:v>348898</c:v>
                </c:pt>
                <c:pt idx="35">
                  <c:v>545134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'Outlook Hindi Analysis'!E5</c:f>
              <c:strCache>
                <c:ptCount val="1"/>
                <c:pt idx="0">
                  <c:v>WMA (3-mo)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Hindi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Hindi Analysis'!$E$6:$E$44</c:f>
              <c:numCache>
                <c:formatCode>#,##0</c:formatCode>
                <c:ptCount val="39"/>
                <c:pt idx="2">
                  <c:v>179231.5</c:v>
                </c:pt>
                <c:pt idx="3">
                  <c:v>191354</c:v>
                </c:pt>
                <c:pt idx="4">
                  <c:v>201922.5</c:v>
                </c:pt>
                <c:pt idx="5">
                  <c:v>273148.666666667</c:v>
                </c:pt>
                <c:pt idx="6">
                  <c:v>267370.166666667</c:v>
                </c:pt>
                <c:pt idx="7">
                  <c:v>260403.666666667</c:v>
                </c:pt>
                <c:pt idx="8">
                  <c:v>252615.166666667</c:v>
                </c:pt>
                <c:pt idx="9">
                  <c:v>263092.333333333</c:v>
                </c:pt>
                <c:pt idx="10">
                  <c:v>274589.5</c:v>
                </c:pt>
                <c:pt idx="11">
                  <c:v>359540.333333333</c:v>
                </c:pt>
                <c:pt idx="12">
                  <c:v>287892</c:v>
                </c:pt>
                <c:pt idx="13">
                  <c:v>234076.333333333</c:v>
                </c:pt>
                <c:pt idx="14">
                  <c:v>201585.833333333</c:v>
                </c:pt>
                <c:pt idx="15">
                  <c:v>212975.166666667</c:v>
                </c:pt>
                <c:pt idx="16">
                  <c:v>226207</c:v>
                </c:pt>
                <c:pt idx="17">
                  <c:v>299256.666666667</c:v>
                </c:pt>
                <c:pt idx="18">
                  <c:v>290581</c:v>
                </c:pt>
                <c:pt idx="19">
                  <c:v>280856.333333333</c:v>
                </c:pt>
                <c:pt idx="20">
                  <c:v>269503.833333333</c:v>
                </c:pt>
                <c:pt idx="21">
                  <c:v>277590.166666667</c:v>
                </c:pt>
                <c:pt idx="22">
                  <c:v>286621.166666667</c:v>
                </c:pt>
                <c:pt idx="23">
                  <c:v>372540.666666667</c:v>
                </c:pt>
                <c:pt idx="24">
                  <c:v>297830.5</c:v>
                </c:pt>
                <c:pt idx="25">
                  <c:v>242134.333333333</c:v>
                </c:pt>
                <c:pt idx="26">
                  <c:v>208077.5</c:v>
                </c:pt>
                <c:pt idx="27">
                  <c:v>223900.333333333</c:v>
                </c:pt>
                <c:pt idx="28">
                  <c:v>244858.5</c:v>
                </c:pt>
                <c:pt idx="29">
                  <c:v>329992</c:v>
                </c:pt>
                <c:pt idx="30">
                  <c:v>325909.666666667</c:v>
                </c:pt>
                <c:pt idx="31">
                  <c:v>321056.166666667</c:v>
                </c:pt>
                <c:pt idx="32">
                  <c:v>311448.166666667</c:v>
                </c:pt>
                <c:pt idx="33">
                  <c:v>325127.166666667</c:v>
                </c:pt>
                <c:pt idx="34">
                  <c:v>339009.166666667</c:v>
                </c:pt>
                <c:pt idx="35">
                  <c:v>444645.166666667</c:v>
                </c:pt>
                <c:pt idx="36">
                  <c:v>444645.166666667</c:v>
                </c:pt>
                <c:pt idx="37">
                  <c:v>462183.583333333</c:v>
                </c:pt>
                <c:pt idx="38">
                  <c:v>470162.513888889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'Outlook Hindi Analysis'!F5</c:f>
              <c:strCache>
                <c:ptCount val="1"/>
                <c:pt idx="0">
                  <c:v>Linear Trend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Hindi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Hindi Analysis'!$F$6:$F$44</c:f>
              <c:numCache>
                <c:formatCode>#,##0</c:formatCode>
                <c:ptCount val="39"/>
                <c:pt idx="0">
                  <c:v>204619.346846847</c:v>
                </c:pt>
                <c:pt idx="1">
                  <c:v>208691.031788932</c:v>
                </c:pt>
                <c:pt idx="2">
                  <c:v>212762.716731017</c:v>
                </c:pt>
                <c:pt idx="3">
                  <c:v>216834.401673102</c:v>
                </c:pt>
                <c:pt idx="4">
                  <c:v>220906.086615187</c:v>
                </c:pt>
                <c:pt idx="5">
                  <c:v>224977.771557272</c:v>
                </c:pt>
                <c:pt idx="6">
                  <c:v>229049.456499356</c:v>
                </c:pt>
                <c:pt idx="7">
                  <c:v>233121.141441441</c:v>
                </c:pt>
                <c:pt idx="8">
                  <c:v>237192.826383526</c:v>
                </c:pt>
                <c:pt idx="9">
                  <c:v>241264.511325611</c:v>
                </c:pt>
                <c:pt idx="10">
                  <c:v>245336.196267696</c:v>
                </c:pt>
                <c:pt idx="11">
                  <c:v>249407.881209781</c:v>
                </c:pt>
                <c:pt idx="12">
                  <c:v>253479.566151866</c:v>
                </c:pt>
                <c:pt idx="13">
                  <c:v>257551.251093951</c:v>
                </c:pt>
                <c:pt idx="14">
                  <c:v>261622.936036036</c:v>
                </c:pt>
                <c:pt idx="15">
                  <c:v>265694.620978121</c:v>
                </c:pt>
                <c:pt idx="16">
                  <c:v>269766.305920206</c:v>
                </c:pt>
                <c:pt idx="17">
                  <c:v>273837.990862291</c:v>
                </c:pt>
                <c:pt idx="18">
                  <c:v>277909.675804376</c:v>
                </c:pt>
                <c:pt idx="19">
                  <c:v>281981.360746461</c:v>
                </c:pt>
                <c:pt idx="20">
                  <c:v>286053.045688546</c:v>
                </c:pt>
                <c:pt idx="21">
                  <c:v>290124.730630631</c:v>
                </c:pt>
                <c:pt idx="22">
                  <c:v>294196.415572716</c:v>
                </c:pt>
                <c:pt idx="23">
                  <c:v>298268.100514801</c:v>
                </c:pt>
                <c:pt idx="24">
                  <c:v>302339.785456885</c:v>
                </c:pt>
                <c:pt idx="25">
                  <c:v>306411.47039897</c:v>
                </c:pt>
                <c:pt idx="26">
                  <c:v>310483.155341055</c:v>
                </c:pt>
                <c:pt idx="27">
                  <c:v>314554.84028314</c:v>
                </c:pt>
                <c:pt idx="28">
                  <c:v>318626.525225225</c:v>
                </c:pt>
                <c:pt idx="29">
                  <c:v>322698.21016731</c:v>
                </c:pt>
                <c:pt idx="30">
                  <c:v>326769.895109395</c:v>
                </c:pt>
                <c:pt idx="31">
                  <c:v>330841.58005148</c:v>
                </c:pt>
                <c:pt idx="32">
                  <c:v>334913.264993565</c:v>
                </c:pt>
                <c:pt idx="33">
                  <c:v>338984.94993565</c:v>
                </c:pt>
                <c:pt idx="34">
                  <c:v>343056.634877735</c:v>
                </c:pt>
                <c:pt idx="35">
                  <c:v>347128.31981982</c:v>
                </c:pt>
                <c:pt idx="36">
                  <c:v>351200.004761905</c:v>
                </c:pt>
                <c:pt idx="37">
                  <c:v>355271.68970399</c:v>
                </c:pt>
                <c:pt idx="38">
                  <c:v>359343.374646075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695775"/>
        <c:axId val="75125400"/>
      </c:lineChart>
      <c:catAx>
        <c:axId val="1569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25400"/>
        <c:crosses val="autoZero"/>
        <c:auto val="1"/>
        <c:lblAlgn val="ctr"/>
        <c:lblOffset val="100"/>
        <c:noMultiLvlLbl val="0"/>
      </c:catAx>
      <c:valAx>
        <c:axId val="75125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subscriptions opened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95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Outlook India: Actual, WMA &amp; Trendline (with Q1 2023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'Outlook India Analysis'!D5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India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India Analysis'!$D$6:$D$44</c:f>
              <c:numCache>
                <c:formatCode>#,##0</c:formatCode>
                <c:ptCount val="39"/>
                <c:pt idx="0">
                  <c:v>528166</c:v>
                </c:pt>
                <c:pt idx="1">
                  <c:v>612054</c:v>
                </c:pt>
                <c:pt idx="2">
                  <c:v>814016</c:v>
                </c:pt>
                <c:pt idx="3">
                  <c:v>705349</c:v>
                </c:pt>
                <c:pt idx="4">
                  <c:v>763211</c:v>
                </c:pt>
                <c:pt idx="5">
                  <c:v>1024206</c:v>
                </c:pt>
                <c:pt idx="6">
                  <c:v>885858</c:v>
                </c:pt>
                <c:pt idx="7">
                  <c:v>911106</c:v>
                </c:pt>
                <c:pt idx="8">
                  <c:v>1188976</c:v>
                </c:pt>
                <c:pt idx="9">
                  <c:v>985516</c:v>
                </c:pt>
                <c:pt idx="10">
                  <c:v>1025684</c:v>
                </c:pt>
                <c:pt idx="11">
                  <c:v>1319690</c:v>
                </c:pt>
                <c:pt idx="12">
                  <c:v>219161</c:v>
                </c:pt>
                <c:pt idx="13">
                  <c:v>261639</c:v>
                </c:pt>
                <c:pt idx="14">
                  <c:v>375358</c:v>
                </c:pt>
                <c:pt idx="15">
                  <c:v>314853</c:v>
                </c:pt>
                <c:pt idx="16">
                  <c:v>337120</c:v>
                </c:pt>
                <c:pt idx="17">
                  <c:v>469918</c:v>
                </c:pt>
                <c:pt idx="18">
                  <c:v>426032</c:v>
                </c:pt>
                <c:pt idx="19">
                  <c:v>467240</c:v>
                </c:pt>
                <c:pt idx="20">
                  <c:v>622957</c:v>
                </c:pt>
                <c:pt idx="21">
                  <c:v>531440</c:v>
                </c:pt>
                <c:pt idx="22">
                  <c:v>559492</c:v>
                </c:pt>
                <c:pt idx="23">
                  <c:v>747564</c:v>
                </c:pt>
                <c:pt idx="24">
                  <c:v>697655</c:v>
                </c:pt>
                <c:pt idx="25">
                  <c:v>841297</c:v>
                </c:pt>
                <c:pt idx="26">
                  <c:v>1167035</c:v>
                </c:pt>
                <c:pt idx="27">
                  <c:v>1007215</c:v>
                </c:pt>
                <c:pt idx="28">
                  <c:v>1075280</c:v>
                </c:pt>
                <c:pt idx="29">
                  <c:v>1449784</c:v>
                </c:pt>
                <c:pt idx="30">
                  <c:v>1273309</c:v>
                </c:pt>
                <c:pt idx="31">
                  <c:v>1333607</c:v>
                </c:pt>
                <c:pt idx="32">
                  <c:v>1731999</c:v>
                </c:pt>
                <c:pt idx="33">
                  <c:v>1444653</c:v>
                </c:pt>
                <c:pt idx="34">
                  <c:v>1488893</c:v>
                </c:pt>
                <c:pt idx="35">
                  <c:v>1855391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'Outlook India Analysis'!E5</c:f>
              <c:strCache>
                <c:ptCount val="1"/>
                <c:pt idx="0">
                  <c:v>WMA (3-mo)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India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India Analysis'!$E$6:$E$44</c:f>
              <c:numCache>
                <c:formatCode>#,##0</c:formatCode>
                <c:ptCount val="39"/>
                <c:pt idx="2">
                  <c:v>699053.666666667</c:v>
                </c:pt>
                <c:pt idx="3">
                  <c:v>726022.166666667</c:v>
                </c:pt>
                <c:pt idx="4">
                  <c:v>752391.166666667</c:v>
                </c:pt>
                <c:pt idx="5">
                  <c:v>884064.833333333</c:v>
                </c:pt>
                <c:pt idx="6">
                  <c:v>911532.833333333</c:v>
                </c:pt>
                <c:pt idx="7">
                  <c:v>921540</c:v>
                </c:pt>
                <c:pt idx="8">
                  <c:v>1045833</c:v>
                </c:pt>
                <c:pt idx="9">
                  <c:v>1040934.33333333</c:v>
                </c:pt>
                <c:pt idx="10">
                  <c:v>1039510</c:v>
                </c:pt>
                <c:pt idx="11">
                  <c:v>1165992.33333333</c:v>
                </c:pt>
                <c:pt idx="12">
                  <c:v>720424.5</c:v>
                </c:pt>
                <c:pt idx="13">
                  <c:v>423821.5</c:v>
                </c:pt>
                <c:pt idx="14">
                  <c:v>311418.833333333</c:v>
                </c:pt>
                <c:pt idx="15">
                  <c:v>326152.333333333</c:v>
                </c:pt>
                <c:pt idx="16">
                  <c:v>336070.666666667</c:v>
                </c:pt>
                <c:pt idx="17">
                  <c:v>399807.833333333</c:v>
                </c:pt>
                <c:pt idx="18">
                  <c:v>425842</c:v>
                </c:pt>
                <c:pt idx="19">
                  <c:v>453950.333333333</c:v>
                </c:pt>
                <c:pt idx="20">
                  <c:v>538230.5</c:v>
                </c:pt>
                <c:pt idx="21">
                  <c:v>551245.666666667</c:v>
                </c:pt>
                <c:pt idx="22">
                  <c:v>560718.833333333</c:v>
                </c:pt>
                <c:pt idx="23">
                  <c:v>648852.666666667</c:v>
                </c:pt>
                <c:pt idx="24">
                  <c:v>691264.166666667</c:v>
                </c:pt>
                <c:pt idx="25">
                  <c:v>777794.166666667</c:v>
                </c:pt>
                <c:pt idx="26">
                  <c:v>980225.666666667</c:v>
                </c:pt>
                <c:pt idx="27">
                  <c:v>1032835.33333333</c:v>
                </c:pt>
                <c:pt idx="28">
                  <c:v>1067884.16666667</c:v>
                </c:pt>
                <c:pt idx="29">
                  <c:v>1251187.83333333</c:v>
                </c:pt>
                <c:pt idx="30">
                  <c:v>1299129.16666667</c:v>
                </c:pt>
                <c:pt idx="31">
                  <c:v>1332870.5</c:v>
                </c:pt>
                <c:pt idx="32">
                  <c:v>1522753.33333333</c:v>
                </c:pt>
                <c:pt idx="33">
                  <c:v>1521927.33333333</c:v>
                </c:pt>
                <c:pt idx="34">
                  <c:v>1514664</c:v>
                </c:pt>
                <c:pt idx="35">
                  <c:v>1664768.66666667</c:v>
                </c:pt>
                <c:pt idx="36">
                  <c:v>1664768.66666667</c:v>
                </c:pt>
                <c:pt idx="37">
                  <c:v>1698996.83333333</c:v>
                </c:pt>
                <c:pt idx="38">
                  <c:v>1713653.13888889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'Outlook India Analysis'!F5</c:f>
              <c:strCache>
                <c:ptCount val="1"/>
                <c:pt idx="0">
                  <c:v>Linear Trend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India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India Analysis'!$F$6:$F$44</c:f>
              <c:numCache>
                <c:formatCode>#,##0</c:formatCode>
                <c:ptCount val="39"/>
                <c:pt idx="0">
                  <c:v>506824.555555556</c:v>
                </c:pt>
                <c:pt idx="1">
                  <c:v>527803.984126984</c:v>
                </c:pt>
                <c:pt idx="2">
                  <c:v>548783.412698413</c:v>
                </c:pt>
                <c:pt idx="3">
                  <c:v>569762.841269841</c:v>
                </c:pt>
                <c:pt idx="4">
                  <c:v>590742.26984127</c:v>
                </c:pt>
                <c:pt idx="5">
                  <c:v>611721.698412698</c:v>
                </c:pt>
                <c:pt idx="6">
                  <c:v>632701.126984127</c:v>
                </c:pt>
                <c:pt idx="7">
                  <c:v>653680.555555556</c:v>
                </c:pt>
                <c:pt idx="8">
                  <c:v>674659.984126984</c:v>
                </c:pt>
                <c:pt idx="9">
                  <c:v>695639.412698413</c:v>
                </c:pt>
                <c:pt idx="10">
                  <c:v>716618.841269841</c:v>
                </c:pt>
                <c:pt idx="11">
                  <c:v>737598.26984127</c:v>
                </c:pt>
                <c:pt idx="12">
                  <c:v>758577.698412698</c:v>
                </c:pt>
                <c:pt idx="13">
                  <c:v>779557.126984127</c:v>
                </c:pt>
                <c:pt idx="14">
                  <c:v>800536.555555556</c:v>
                </c:pt>
                <c:pt idx="15">
                  <c:v>821515.984126984</c:v>
                </c:pt>
                <c:pt idx="16">
                  <c:v>842495.412698413</c:v>
                </c:pt>
                <c:pt idx="17">
                  <c:v>863474.841269841</c:v>
                </c:pt>
                <c:pt idx="18">
                  <c:v>884454.26984127</c:v>
                </c:pt>
                <c:pt idx="19">
                  <c:v>905433.698412699</c:v>
                </c:pt>
                <c:pt idx="20">
                  <c:v>926413.126984127</c:v>
                </c:pt>
                <c:pt idx="21">
                  <c:v>947392.555555556</c:v>
                </c:pt>
                <c:pt idx="22">
                  <c:v>968371.984126984</c:v>
                </c:pt>
                <c:pt idx="23">
                  <c:v>989351.412698413</c:v>
                </c:pt>
                <c:pt idx="24">
                  <c:v>1010330.84126984</c:v>
                </c:pt>
                <c:pt idx="25">
                  <c:v>1031310.26984127</c:v>
                </c:pt>
                <c:pt idx="26">
                  <c:v>1052289.6984127</c:v>
                </c:pt>
                <c:pt idx="27">
                  <c:v>1073269.12698413</c:v>
                </c:pt>
                <c:pt idx="28">
                  <c:v>1094248.55555556</c:v>
                </c:pt>
                <c:pt idx="29">
                  <c:v>1115227.98412698</c:v>
                </c:pt>
                <c:pt idx="30">
                  <c:v>1136207.41269841</c:v>
                </c:pt>
                <c:pt idx="31">
                  <c:v>1157186.84126984</c:v>
                </c:pt>
                <c:pt idx="32">
                  <c:v>1178166.26984127</c:v>
                </c:pt>
                <c:pt idx="33">
                  <c:v>1199145.6984127</c:v>
                </c:pt>
                <c:pt idx="34">
                  <c:v>1220125.12698413</c:v>
                </c:pt>
                <c:pt idx="35">
                  <c:v>1241104.55555556</c:v>
                </c:pt>
                <c:pt idx="36">
                  <c:v>1262083.98412698</c:v>
                </c:pt>
                <c:pt idx="37">
                  <c:v>1283063.41269841</c:v>
                </c:pt>
                <c:pt idx="38">
                  <c:v>1304042.84126984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274485"/>
        <c:axId val="69324782"/>
      </c:lineChart>
      <c:catAx>
        <c:axId val="962744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24782"/>
        <c:crosses val="autoZero"/>
        <c:auto val="1"/>
        <c:lblAlgn val="ctr"/>
        <c:lblOffset val="100"/>
        <c:noMultiLvlLbl val="0"/>
      </c:catAx>
      <c:valAx>
        <c:axId val="69324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subscriptions opened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74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Outlook Money: Actual, WMA &amp; Trendline (with Q1 2023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'Outlook Money Analysis'!D5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Money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Money Analysis'!$D$6:$D$44</c:f>
              <c:numCache>
                <c:formatCode>#,##0</c:formatCode>
                <c:ptCount val="39"/>
                <c:pt idx="0">
                  <c:v>541327</c:v>
                </c:pt>
                <c:pt idx="1">
                  <c:v>543521</c:v>
                </c:pt>
                <c:pt idx="2">
                  <c:v>553236</c:v>
                </c:pt>
                <c:pt idx="3">
                  <c:v>559221</c:v>
                </c:pt>
                <c:pt idx="4">
                  <c:v>562852</c:v>
                </c:pt>
                <c:pt idx="5">
                  <c:v>564236</c:v>
                </c:pt>
                <c:pt idx="6">
                  <c:v>568222</c:v>
                </c:pt>
                <c:pt idx="7">
                  <c:v>571200</c:v>
                </c:pt>
                <c:pt idx="8">
                  <c:v>573632</c:v>
                </c:pt>
                <c:pt idx="9">
                  <c:v>575121</c:v>
                </c:pt>
                <c:pt idx="10">
                  <c:v>580537</c:v>
                </c:pt>
                <c:pt idx="11">
                  <c:v>582923</c:v>
                </c:pt>
                <c:pt idx="12">
                  <c:v>460896</c:v>
                </c:pt>
                <c:pt idx="13">
                  <c:v>465852</c:v>
                </c:pt>
                <c:pt idx="14">
                  <c:v>469521</c:v>
                </c:pt>
                <c:pt idx="15">
                  <c:v>477201</c:v>
                </c:pt>
                <c:pt idx="16">
                  <c:v>479231</c:v>
                </c:pt>
                <c:pt idx="17">
                  <c:v>482369</c:v>
                </c:pt>
                <c:pt idx="18">
                  <c:v>492112</c:v>
                </c:pt>
                <c:pt idx="19">
                  <c:v>499202</c:v>
                </c:pt>
                <c:pt idx="20">
                  <c:v>510563</c:v>
                </c:pt>
                <c:pt idx="21">
                  <c:v>512236</c:v>
                </c:pt>
                <c:pt idx="22">
                  <c:v>523568</c:v>
                </c:pt>
                <c:pt idx="23">
                  <c:v>528221</c:v>
                </c:pt>
                <c:pt idx="24">
                  <c:v>562201</c:v>
                </c:pt>
                <c:pt idx="25">
                  <c:v>566231</c:v>
                </c:pt>
                <c:pt idx="26">
                  <c:v>578210</c:v>
                </c:pt>
                <c:pt idx="27">
                  <c:v>582417</c:v>
                </c:pt>
                <c:pt idx="28">
                  <c:v>586231</c:v>
                </c:pt>
                <c:pt idx="29">
                  <c:v>590220</c:v>
                </c:pt>
                <c:pt idx="30">
                  <c:v>593262</c:v>
                </c:pt>
                <c:pt idx="31">
                  <c:v>598000</c:v>
                </c:pt>
                <c:pt idx="32">
                  <c:v>609201</c:v>
                </c:pt>
                <c:pt idx="33">
                  <c:v>612285</c:v>
                </c:pt>
                <c:pt idx="34">
                  <c:v>615869</c:v>
                </c:pt>
                <c:pt idx="35">
                  <c:v>621200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'Outlook Money Analysis'!E5</c:f>
              <c:strCache>
                <c:ptCount val="1"/>
                <c:pt idx="0">
                  <c:v>WMA (3-mo)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Money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Money Analysis'!$E$6:$E$44</c:f>
              <c:numCache>
                <c:formatCode>#,##0</c:formatCode>
                <c:ptCount val="39"/>
                <c:pt idx="2">
                  <c:v>548012.833333333</c:v>
                </c:pt>
                <c:pt idx="3">
                  <c:v>554609.333333333</c:v>
                </c:pt>
                <c:pt idx="4">
                  <c:v>560039</c:v>
                </c:pt>
                <c:pt idx="5">
                  <c:v>562938.833333333</c:v>
                </c:pt>
                <c:pt idx="6">
                  <c:v>565998.333333333</c:v>
                </c:pt>
                <c:pt idx="7">
                  <c:v>569046.666666667</c:v>
                </c:pt>
                <c:pt idx="8">
                  <c:v>571919.666666667</c:v>
                </c:pt>
                <c:pt idx="9">
                  <c:v>573971.166666667</c:v>
                </c:pt>
                <c:pt idx="10">
                  <c:v>577580.833333333</c:v>
                </c:pt>
                <c:pt idx="11">
                  <c:v>580827.333333333</c:v>
                </c:pt>
                <c:pt idx="12">
                  <c:v>521511.833333333</c:v>
                </c:pt>
                <c:pt idx="13">
                  <c:v>483711.833333333</c:v>
                </c:pt>
                <c:pt idx="14">
                  <c:v>466860.5</c:v>
                </c:pt>
                <c:pt idx="15">
                  <c:v>472749.5</c:v>
                </c:pt>
                <c:pt idx="16">
                  <c:v>476936</c:v>
                </c:pt>
                <c:pt idx="17">
                  <c:v>480461.666666667</c:v>
                </c:pt>
                <c:pt idx="18">
                  <c:v>486717.5</c:v>
                </c:pt>
                <c:pt idx="19">
                  <c:v>494033.166666667</c:v>
                </c:pt>
                <c:pt idx="20">
                  <c:v>503700.833333333</c:v>
                </c:pt>
                <c:pt idx="21">
                  <c:v>509506</c:v>
                </c:pt>
                <c:pt idx="22">
                  <c:v>517623.166666667</c:v>
                </c:pt>
                <c:pt idx="23">
                  <c:v>524005.833333333</c:v>
                </c:pt>
                <c:pt idx="24">
                  <c:v>544435.5</c:v>
                </c:pt>
                <c:pt idx="25">
                  <c:v>558552.666666667</c:v>
                </c:pt>
                <c:pt idx="26">
                  <c:v>571548.833333333</c:v>
                </c:pt>
                <c:pt idx="27">
                  <c:v>578317</c:v>
                </c:pt>
                <c:pt idx="28">
                  <c:v>583622.833333333</c:v>
                </c:pt>
                <c:pt idx="29">
                  <c:v>587589.833333333</c:v>
                </c:pt>
                <c:pt idx="30">
                  <c:v>591076.166666667</c:v>
                </c:pt>
                <c:pt idx="31">
                  <c:v>595124</c:v>
                </c:pt>
                <c:pt idx="32">
                  <c:v>602810.833333333</c:v>
                </c:pt>
                <c:pt idx="33">
                  <c:v>608876.166666667</c:v>
                </c:pt>
                <c:pt idx="34">
                  <c:v>613563</c:v>
                </c:pt>
                <c:pt idx="35">
                  <c:v>617937.166666667</c:v>
                </c:pt>
                <c:pt idx="36">
                  <c:v>617937.166666667</c:v>
                </c:pt>
                <c:pt idx="37">
                  <c:v>618680.083333333</c:v>
                </c:pt>
                <c:pt idx="38">
                  <c:v>618852.430555556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'Outlook Money Analysis'!F5</c:f>
              <c:strCache>
                <c:ptCount val="1"/>
                <c:pt idx="0">
                  <c:v>Linear Trend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Money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Money Analysis'!$F$6:$F$44</c:f>
              <c:numCache>
                <c:formatCode>#,##0</c:formatCode>
                <c:ptCount val="39"/>
                <c:pt idx="0">
                  <c:v>521655.845345345</c:v>
                </c:pt>
                <c:pt idx="1">
                  <c:v>523263.331960532</c:v>
                </c:pt>
                <c:pt idx="2">
                  <c:v>524870.818575719</c:v>
                </c:pt>
                <c:pt idx="3">
                  <c:v>526478.305190905</c:v>
                </c:pt>
                <c:pt idx="4">
                  <c:v>528085.791806092</c:v>
                </c:pt>
                <c:pt idx="5">
                  <c:v>529693.278421279</c:v>
                </c:pt>
                <c:pt idx="6">
                  <c:v>531300.765036465</c:v>
                </c:pt>
                <c:pt idx="7">
                  <c:v>532908.251651652</c:v>
                </c:pt>
                <c:pt idx="8">
                  <c:v>534515.738266838</c:v>
                </c:pt>
                <c:pt idx="9">
                  <c:v>536123.224882025</c:v>
                </c:pt>
                <c:pt idx="10">
                  <c:v>537730.711497212</c:v>
                </c:pt>
                <c:pt idx="11">
                  <c:v>539338.198112398</c:v>
                </c:pt>
                <c:pt idx="12">
                  <c:v>540945.684727585</c:v>
                </c:pt>
                <c:pt idx="13">
                  <c:v>542553.171342771</c:v>
                </c:pt>
                <c:pt idx="14">
                  <c:v>544160.657957958</c:v>
                </c:pt>
                <c:pt idx="15">
                  <c:v>545768.144573145</c:v>
                </c:pt>
                <c:pt idx="16">
                  <c:v>547375.631188331</c:v>
                </c:pt>
                <c:pt idx="17">
                  <c:v>548983.117803518</c:v>
                </c:pt>
                <c:pt idx="18">
                  <c:v>550590.604418704</c:v>
                </c:pt>
                <c:pt idx="19">
                  <c:v>552198.091033891</c:v>
                </c:pt>
                <c:pt idx="20">
                  <c:v>553805.577649078</c:v>
                </c:pt>
                <c:pt idx="21">
                  <c:v>555413.064264264</c:v>
                </c:pt>
                <c:pt idx="22">
                  <c:v>557020.550879451</c:v>
                </c:pt>
                <c:pt idx="23">
                  <c:v>558628.037494638</c:v>
                </c:pt>
                <c:pt idx="24">
                  <c:v>560235.524109824</c:v>
                </c:pt>
                <c:pt idx="25">
                  <c:v>561843.010725011</c:v>
                </c:pt>
                <c:pt idx="26">
                  <c:v>563450.497340197</c:v>
                </c:pt>
                <c:pt idx="27">
                  <c:v>565057.983955384</c:v>
                </c:pt>
                <c:pt idx="28">
                  <c:v>566665.470570571</c:v>
                </c:pt>
                <c:pt idx="29">
                  <c:v>568272.957185757</c:v>
                </c:pt>
                <c:pt idx="30">
                  <c:v>569880.443800944</c:v>
                </c:pt>
                <c:pt idx="31">
                  <c:v>571487.930416131</c:v>
                </c:pt>
                <c:pt idx="32">
                  <c:v>573095.417031317</c:v>
                </c:pt>
                <c:pt idx="33">
                  <c:v>574702.903646504</c:v>
                </c:pt>
                <c:pt idx="34">
                  <c:v>576310.39026169</c:v>
                </c:pt>
                <c:pt idx="35">
                  <c:v>577917.876876877</c:v>
                </c:pt>
                <c:pt idx="36">
                  <c:v>579525.363492064</c:v>
                </c:pt>
                <c:pt idx="37">
                  <c:v>581132.85010725</c:v>
                </c:pt>
                <c:pt idx="38">
                  <c:v>582740.336722437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048927"/>
        <c:axId val="93564418"/>
      </c:lineChart>
      <c:catAx>
        <c:axId val="9004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64418"/>
        <c:crosses val="autoZero"/>
        <c:auto val="1"/>
        <c:lblAlgn val="ctr"/>
        <c:lblOffset val="100"/>
        <c:noMultiLvlLbl val="0"/>
      </c:catAx>
      <c:valAx>
        <c:axId val="93564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subscriptions opened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48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Outlook Traveller: Actual, WMA &amp; Trendline (with Q1 2023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'Outlook Traveller Analysis'!D5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Traveller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Traveller Analysis'!$D$6:$D$44</c:f>
              <c:numCache>
                <c:formatCode>#,##0</c:formatCode>
                <c:ptCount val="39"/>
                <c:pt idx="0">
                  <c:v>231222</c:v>
                </c:pt>
                <c:pt idx="1">
                  <c:v>235584</c:v>
                </c:pt>
                <c:pt idx="2">
                  <c:v>239896</c:v>
                </c:pt>
                <c:pt idx="3">
                  <c:v>243569</c:v>
                </c:pt>
                <c:pt idx="4">
                  <c:v>247598</c:v>
                </c:pt>
                <c:pt idx="5">
                  <c:v>249263</c:v>
                </c:pt>
                <c:pt idx="6">
                  <c:v>254896</c:v>
                </c:pt>
                <c:pt idx="7">
                  <c:v>258100</c:v>
                </c:pt>
                <c:pt idx="8">
                  <c:v>268200</c:v>
                </c:pt>
                <c:pt idx="9">
                  <c:v>269587</c:v>
                </c:pt>
                <c:pt idx="10">
                  <c:v>275598</c:v>
                </c:pt>
                <c:pt idx="11">
                  <c:v>278522</c:v>
                </c:pt>
                <c:pt idx="12">
                  <c:v>189265</c:v>
                </c:pt>
                <c:pt idx="13">
                  <c:v>195588</c:v>
                </c:pt>
                <c:pt idx="14">
                  <c:v>198526</c:v>
                </c:pt>
                <c:pt idx="15">
                  <c:v>201235</c:v>
                </c:pt>
                <c:pt idx="16">
                  <c:v>210256</c:v>
                </c:pt>
                <c:pt idx="17">
                  <c:v>215588</c:v>
                </c:pt>
                <c:pt idx="18">
                  <c:v>216639</c:v>
                </c:pt>
                <c:pt idx="19">
                  <c:v>222584</c:v>
                </c:pt>
                <c:pt idx="20">
                  <c:v>232569</c:v>
                </c:pt>
                <c:pt idx="21">
                  <c:v>237895</c:v>
                </c:pt>
                <c:pt idx="22">
                  <c:v>240212</c:v>
                </c:pt>
                <c:pt idx="23">
                  <c:v>246258</c:v>
                </c:pt>
                <c:pt idx="24">
                  <c:v>221869</c:v>
                </c:pt>
                <c:pt idx="25">
                  <c:v>226896</c:v>
                </c:pt>
                <c:pt idx="26">
                  <c:v>236563</c:v>
                </c:pt>
                <c:pt idx="27">
                  <c:v>238874</c:v>
                </c:pt>
                <c:pt idx="28">
                  <c:v>245110</c:v>
                </c:pt>
                <c:pt idx="29">
                  <c:v>249236</c:v>
                </c:pt>
                <c:pt idx="30">
                  <c:v>256963</c:v>
                </c:pt>
                <c:pt idx="31">
                  <c:v>261110</c:v>
                </c:pt>
                <c:pt idx="32">
                  <c:v>268741</c:v>
                </c:pt>
                <c:pt idx="33">
                  <c:v>275302</c:v>
                </c:pt>
                <c:pt idx="34">
                  <c:v>279231</c:v>
                </c:pt>
                <c:pt idx="35">
                  <c:v>286258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'Outlook Traveller Analysis'!E5</c:f>
              <c:strCache>
                <c:ptCount val="1"/>
                <c:pt idx="0">
                  <c:v>WMA (3-mo)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Traveller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Traveller Analysis'!$E$6:$E$44</c:f>
              <c:numCache>
                <c:formatCode>#,##0</c:formatCode>
                <c:ptCount val="39"/>
                <c:pt idx="2">
                  <c:v>237013</c:v>
                </c:pt>
                <c:pt idx="3">
                  <c:v>241013.833333333</c:v>
                </c:pt>
                <c:pt idx="4">
                  <c:v>244971.333333333</c:v>
                </c:pt>
                <c:pt idx="5">
                  <c:v>247759</c:v>
                </c:pt>
                <c:pt idx="6">
                  <c:v>251802</c:v>
                </c:pt>
                <c:pt idx="7">
                  <c:v>255559.166666667</c:v>
                </c:pt>
                <c:pt idx="8">
                  <c:v>262616</c:v>
                </c:pt>
                <c:pt idx="9">
                  <c:v>267210.166666667</c:v>
                </c:pt>
                <c:pt idx="10">
                  <c:v>272361.333333333</c:v>
                </c:pt>
                <c:pt idx="11">
                  <c:v>276058.166666667</c:v>
                </c:pt>
                <c:pt idx="12">
                  <c:v>233406.166666667</c:v>
                </c:pt>
                <c:pt idx="13">
                  <c:v>207302.666666667</c:v>
                </c:pt>
                <c:pt idx="14">
                  <c:v>196003.166666667</c:v>
                </c:pt>
                <c:pt idx="15">
                  <c:v>199390.833333333</c:v>
                </c:pt>
                <c:pt idx="16">
                  <c:v>205294</c:v>
                </c:pt>
                <c:pt idx="17">
                  <c:v>211418.5</c:v>
                </c:pt>
                <c:pt idx="18">
                  <c:v>215224.833333333</c:v>
                </c:pt>
                <c:pt idx="19">
                  <c:v>219436.333333333</c:v>
                </c:pt>
                <c:pt idx="20">
                  <c:v>226585.666666667</c:v>
                </c:pt>
                <c:pt idx="21">
                  <c:v>233567.833333333</c:v>
                </c:pt>
                <c:pt idx="22">
                  <c:v>238165.833333333</c:v>
                </c:pt>
                <c:pt idx="23">
                  <c:v>242848.833333333</c:v>
                </c:pt>
                <c:pt idx="24">
                  <c:v>233055.833333333</c:v>
                </c:pt>
                <c:pt idx="25">
                  <c:v>228447.333333333</c:v>
                </c:pt>
                <c:pt idx="26">
                  <c:v>230891.666666667</c:v>
                </c:pt>
                <c:pt idx="27">
                  <c:v>236107.333333333</c:v>
                </c:pt>
                <c:pt idx="28">
                  <c:v>241606.833333333</c:v>
                </c:pt>
                <c:pt idx="29">
                  <c:v>246133.666666667</c:v>
                </c:pt>
                <c:pt idx="30">
                  <c:v>252411.833333333</c:v>
                </c:pt>
                <c:pt idx="31">
                  <c:v>257748.666666667</c:v>
                </c:pt>
                <c:pt idx="32">
                  <c:v>264234.333333333</c:v>
                </c:pt>
                <c:pt idx="33">
                  <c:v>270749.666666667</c:v>
                </c:pt>
                <c:pt idx="34">
                  <c:v>276173</c:v>
                </c:pt>
                <c:pt idx="35">
                  <c:v>282089.666666667</c:v>
                </c:pt>
                <c:pt idx="36">
                  <c:v>282089.666666667</c:v>
                </c:pt>
                <c:pt idx="37">
                  <c:v>283002.666666667</c:v>
                </c:pt>
                <c:pt idx="38">
                  <c:v>283240.888888889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'Outlook Traveller Analysis'!F5</c:f>
              <c:strCache>
                <c:ptCount val="1"/>
                <c:pt idx="0">
                  <c:v>Linear Trend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Traveller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Traveller Analysis'!$F$6:$F$44</c:f>
              <c:numCache>
                <c:formatCode>#,##0</c:formatCode>
                <c:ptCount val="39"/>
                <c:pt idx="0">
                  <c:v>232201.558558559</c:v>
                </c:pt>
                <c:pt idx="1">
                  <c:v>232750.045688546</c:v>
                </c:pt>
                <c:pt idx="2">
                  <c:v>233298.532818533</c:v>
                </c:pt>
                <c:pt idx="3">
                  <c:v>233847.01994852</c:v>
                </c:pt>
                <c:pt idx="4">
                  <c:v>234395.507078507</c:v>
                </c:pt>
                <c:pt idx="5">
                  <c:v>234943.994208494</c:v>
                </c:pt>
                <c:pt idx="6">
                  <c:v>235492.481338481</c:v>
                </c:pt>
                <c:pt idx="7">
                  <c:v>236040.968468469</c:v>
                </c:pt>
                <c:pt idx="8">
                  <c:v>236589.455598456</c:v>
                </c:pt>
                <c:pt idx="9">
                  <c:v>237137.942728443</c:v>
                </c:pt>
                <c:pt idx="10">
                  <c:v>237686.42985843</c:v>
                </c:pt>
                <c:pt idx="11">
                  <c:v>238234.916988417</c:v>
                </c:pt>
                <c:pt idx="12">
                  <c:v>238783.404118404</c:v>
                </c:pt>
                <c:pt idx="13">
                  <c:v>239331.891248391</c:v>
                </c:pt>
                <c:pt idx="14">
                  <c:v>239880.378378378</c:v>
                </c:pt>
                <c:pt idx="15">
                  <c:v>240428.865508366</c:v>
                </c:pt>
                <c:pt idx="16">
                  <c:v>240977.352638353</c:v>
                </c:pt>
                <c:pt idx="17">
                  <c:v>241525.83976834</c:v>
                </c:pt>
                <c:pt idx="18">
                  <c:v>242074.326898327</c:v>
                </c:pt>
                <c:pt idx="19">
                  <c:v>242622.814028314</c:v>
                </c:pt>
                <c:pt idx="20">
                  <c:v>243171.301158301</c:v>
                </c:pt>
                <c:pt idx="21">
                  <c:v>243719.788288288</c:v>
                </c:pt>
                <c:pt idx="22">
                  <c:v>244268.275418275</c:v>
                </c:pt>
                <c:pt idx="23">
                  <c:v>244816.762548263</c:v>
                </c:pt>
                <c:pt idx="24">
                  <c:v>245365.24967825</c:v>
                </c:pt>
                <c:pt idx="25">
                  <c:v>245913.736808237</c:v>
                </c:pt>
                <c:pt idx="26">
                  <c:v>246462.223938224</c:v>
                </c:pt>
                <c:pt idx="27">
                  <c:v>247010.711068211</c:v>
                </c:pt>
                <c:pt idx="28">
                  <c:v>247559.198198198</c:v>
                </c:pt>
                <c:pt idx="29">
                  <c:v>248107.685328185</c:v>
                </c:pt>
                <c:pt idx="30">
                  <c:v>248656.172458172</c:v>
                </c:pt>
                <c:pt idx="31">
                  <c:v>249204.65958816</c:v>
                </c:pt>
                <c:pt idx="32">
                  <c:v>249753.146718147</c:v>
                </c:pt>
                <c:pt idx="33">
                  <c:v>250301.633848134</c:v>
                </c:pt>
                <c:pt idx="34">
                  <c:v>250850.120978121</c:v>
                </c:pt>
                <c:pt idx="35">
                  <c:v>251398.608108108</c:v>
                </c:pt>
                <c:pt idx="36">
                  <c:v>251947.095238095</c:v>
                </c:pt>
                <c:pt idx="37">
                  <c:v>252495.582368082</c:v>
                </c:pt>
                <c:pt idx="38">
                  <c:v>253044.06949807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504551"/>
        <c:axId val="71207799"/>
      </c:lineChart>
      <c:catAx>
        <c:axId val="96504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07799"/>
        <c:crosses val="autoZero"/>
        <c:auto val="1"/>
        <c:lblAlgn val="ctr"/>
        <c:lblOffset val="100"/>
        <c:noMultiLvlLbl val="0"/>
      </c:catAx>
      <c:valAx>
        <c:axId val="71207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subscriptions opened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04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Outlook Group (All Titles): Actual, WMA &amp; Trendline (with Q1 2023 forecast)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'Outlook Group Analysis'!D5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Group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Group Analysis'!$D$6:$D$44</c:f>
              <c:numCache>
                <c:formatCode>#,##0</c:formatCode>
                <c:ptCount val="39"/>
                <c:pt idx="0">
                  <c:v>2195848</c:v>
                </c:pt>
                <c:pt idx="1">
                  <c:v>2207257</c:v>
                </c:pt>
                <c:pt idx="2">
                  <c:v>3083281</c:v>
                </c:pt>
                <c:pt idx="3">
                  <c:v>2496851</c:v>
                </c:pt>
                <c:pt idx="4">
                  <c:v>3340891</c:v>
                </c:pt>
                <c:pt idx="5">
                  <c:v>3937405</c:v>
                </c:pt>
                <c:pt idx="6">
                  <c:v>3236264</c:v>
                </c:pt>
                <c:pt idx="7">
                  <c:v>2978169</c:v>
                </c:pt>
                <c:pt idx="8">
                  <c:v>2944899</c:v>
                </c:pt>
                <c:pt idx="9">
                  <c:v>2574803</c:v>
                </c:pt>
                <c:pt idx="10">
                  <c:v>2560547</c:v>
                </c:pt>
                <c:pt idx="11">
                  <c:v>3445867</c:v>
                </c:pt>
                <c:pt idx="12">
                  <c:v>1583647</c:v>
                </c:pt>
                <c:pt idx="13">
                  <c:v>1604770</c:v>
                </c:pt>
                <c:pt idx="14">
                  <c:v>1842473</c:v>
                </c:pt>
                <c:pt idx="15">
                  <c:v>2803601</c:v>
                </c:pt>
                <c:pt idx="16">
                  <c:v>2215511</c:v>
                </c:pt>
                <c:pt idx="17">
                  <c:v>2225063</c:v>
                </c:pt>
                <c:pt idx="18">
                  <c:v>2681359</c:v>
                </c:pt>
                <c:pt idx="19">
                  <c:v>2415011</c:v>
                </c:pt>
                <c:pt idx="20">
                  <c:v>2699748</c:v>
                </c:pt>
                <c:pt idx="21">
                  <c:v>2116643</c:v>
                </c:pt>
                <c:pt idx="22">
                  <c:v>2436477</c:v>
                </c:pt>
                <c:pt idx="23">
                  <c:v>2234435</c:v>
                </c:pt>
                <c:pt idx="24">
                  <c:v>2334961</c:v>
                </c:pt>
                <c:pt idx="25">
                  <c:v>2389843</c:v>
                </c:pt>
                <c:pt idx="26">
                  <c:v>3487480</c:v>
                </c:pt>
                <c:pt idx="27">
                  <c:v>3749926</c:v>
                </c:pt>
                <c:pt idx="28">
                  <c:v>4403892</c:v>
                </c:pt>
                <c:pt idx="29">
                  <c:v>3722455</c:v>
                </c:pt>
                <c:pt idx="30">
                  <c:v>4272985</c:v>
                </c:pt>
                <c:pt idx="31">
                  <c:v>3193018</c:v>
                </c:pt>
                <c:pt idx="32">
                  <c:v>3913519</c:v>
                </c:pt>
                <c:pt idx="33">
                  <c:v>3165477</c:v>
                </c:pt>
                <c:pt idx="34">
                  <c:v>3317991</c:v>
                </c:pt>
                <c:pt idx="35">
                  <c:v>4286506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'Outlook Group Analysis'!E5</c:f>
              <c:strCache>
                <c:ptCount val="1"/>
                <c:pt idx="0">
                  <c:v>WMA (3-mo)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Group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Group Analysis'!$E$6:$E$44</c:f>
              <c:numCache>
                <c:formatCode>#,##0</c:formatCode>
                <c:ptCount val="39"/>
                <c:pt idx="2">
                  <c:v>2643367.5</c:v>
                </c:pt>
                <c:pt idx="3">
                  <c:v>2644062</c:v>
                </c:pt>
                <c:pt idx="4">
                  <c:v>3016609.33333333</c:v>
                </c:pt>
                <c:pt idx="5">
                  <c:v>3498474.66666667</c:v>
                </c:pt>
                <c:pt idx="6">
                  <c:v>3487415.5</c:v>
                </c:pt>
                <c:pt idx="7">
                  <c:v>3224073.33333333</c:v>
                </c:pt>
                <c:pt idx="8">
                  <c:v>3004549.83333333</c:v>
                </c:pt>
                <c:pt idx="9">
                  <c:v>2765396</c:v>
                </c:pt>
                <c:pt idx="10">
                  <c:v>2629357.66666667</c:v>
                </c:pt>
                <c:pt idx="11">
                  <c:v>3005583</c:v>
                </c:pt>
                <c:pt idx="12">
                  <c:v>2367203.66666667</c:v>
                </c:pt>
                <c:pt idx="13">
                  <c:v>1904578.5</c:v>
                </c:pt>
                <c:pt idx="14">
                  <c:v>1720101</c:v>
                </c:pt>
                <c:pt idx="15">
                  <c:v>2283419.83333333</c:v>
                </c:pt>
                <c:pt idx="16">
                  <c:v>2349368</c:v>
                </c:pt>
                <c:pt idx="17">
                  <c:v>2318302</c:v>
                </c:pt>
                <c:pt idx="18">
                  <c:v>2451619</c:v>
                </c:pt>
                <c:pt idx="19">
                  <c:v>2472135.66666667</c:v>
                </c:pt>
                <c:pt idx="20">
                  <c:v>2601770.83333333</c:v>
                </c:pt>
                <c:pt idx="21">
                  <c:v>2360739.33333333</c:v>
                </c:pt>
                <c:pt idx="22">
                  <c:v>2373744.16666667</c:v>
                </c:pt>
                <c:pt idx="23">
                  <c:v>2282150.33333333</c:v>
                </c:pt>
                <c:pt idx="24">
                  <c:v>2318371.66666667</c:v>
                </c:pt>
                <c:pt idx="25">
                  <c:v>2345647.66666667</c:v>
                </c:pt>
                <c:pt idx="26">
                  <c:v>2929514.5</c:v>
                </c:pt>
                <c:pt idx="27">
                  <c:v>3435763.5</c:v>
                </c:pt>
                <c:pt idx="28">
                  <c:v>4033168</c:v>
                </c:pt>
                <c:pt idx="29">
                  <c:v>3954179.16666667</c:v>
                </c:pt>
                <c:pt idx="30">
                  <c:v>4111292.83333333</c:v>
                </c:pt>
                <c:pt idx="31">
                  <c:v>3641246.5</c:v>
                </c:pt>
                <c:pt idx="32">
                  <c:v>3733263</c:v>
                </c:pt>
                <c:pt idx="33">
                  <c:v>3419414.5</c:v>
                </c:pt>
                <c:pt idx="34">
                  <c:v>3366407.66666667</c:v>
                </c:pt>
                <c:pt idx="35">
                  <c:v>3776829.5</c:v>
                </c:pt>
                <c:pt idx="36">
                  <c:v>3776829.5</c:v>
                </c:pt>
                <c:pt idx="37">
                  <c:v>3870248.58333333</c:v>
                </c:pt>
                <c:pt idx="38">
                  <c:v>3908485.125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'Outlook Group Analysis'!F5</c:f>
              <c:strCache>
                <c:ptCount val="1"/>
                <c:pt idx="0">
                  <c:v>Linear Trend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'Outlook Group Analysis'!$B$6:$B$44</c:f>
              <c:strCache>
                <c:ptCount val="39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  <c:pt idx="13">
                  <c:v>Feb-21</c:v>
                </c:pt>
                <c:pt idx="14">
                  <c:v>Mar-21</c:v>
                </c:pt>
                <c:pt idx="15">
                  <c:v>Apr-21</c:v>
                </c:pt>
                <c:pt idx="16">
                  <c:v>May-21</c:v>
                </c:pt>
                <c:pt idx="17">
                  <c:v>Jun-21</c:v>
                </c:pt>
                <c:pt idx="18">
                  <c:v>Jul-21</c:v>
                </c:pt>
                <c:pt idx="19">
                  <c:v>Aug-21</c:v>
                </c:pt>
                <c:pt idx="20">
                  <c:v>Sep-21</c:v>
                </c:pt>
                <c:pt idx="21">
                  <c:v>Oct-21</c:v>
                </c:pt>
                <c:pt idx="22">
                  <c:v>Nov-21</c:v>
                </c:pt>
                <c:pt idx="23">
                  <c:v>Dec-21</c:v>
                </c:pt>
                <c:pt idx="24">
                  <c:v>Jan-22</c:v>
                </c:pt>
                <c:pt idx="25">
                  <c:v>Feb-22</c:v>
                </c:pt>
                <c:pt idx="26">
                  <c:v>Mar-22</c:v>
                </c:pt>
                <c:pt idx="27">
                  <c:v>Apr-22</c:v>
                </c:pt>
                <c:pt idx="28">
                  <c:v>May-22</c:v>
                </c:pt>
                <c:pt idx="29">
                  <c:v>Jun-22</c:v>
                </c:pt>
                <c:pt idx="30">
                  <c:v>Jul-22</c:v>
                </c:pt>
                <c:pt idx="31">
                  <c:v>Aug-22</c:v>
                </c:pt>
                <c:pt idx="32">
                  <c:v>Sep-22</c:v>
                </c:pt>
                <c:pt idx="33">
                  <c:v>Oct-22</c:v>
                </c:pt>
                <c:pt idx="34">
                  <c:v>Nov-22</c:v>
                </c:pt>
                <c:pt idx="35">
                  <c:v>Dec-22</c:v>
                </c:pt>
                <c:pt idx="36">
                  <c:v>Jan-23</c:v>
                </c:pt>
                <c:pt idx="37">
                  <c:v>Feb-23</c:v>
                </c:pt>
                <c:pt idx="38">
                  <c:v>Mar-23</c:v>
                </c:pt>
              </c:strCache>
            </c:strRef>
          </c:cat>
          <c:val>
            <c:numRef>
              <c:f>'Outlook Group Analysis'!$F$6:$F$44</c:f>
              <c:numCache>
                <c:formatCode>#,##0</c:formatCode>
                <c:ptCount val="39"/>
                <c:pt idx="0">
                  <c:v>2373874.90840841</c:v>
                </c:pt>
                <c:pt idx="1">
                  <c:v>2403461.21999142</c:v>
                </c:pt>
                <c:pt idx="2">
                  <c:v>2433047.53157443</c:v>
                </c:pt>
                <c:pt idx="3">
                  <c:v>2462633.84315744</c:v>
                </c:pt>
                <c:pt idx="4">
                  <c:v>2492220.15474045</c:v>
                </c:pt>
                <c:pt idx="5">
                  <c:v>2521806.46632347</c:v>
                </c:pt>
                <c:pt idx="6">
                  <c:v>2551392.77790648</c:v>
                </c:pt>
                <c:pt idx="7">
                  <c:v>2580979.08948949</c:v>
                </c:pt>
                <c:pt idx="8">
                  <c:v>2610565.4010725</c:v>
                </c:pt>
                <c:pt idx="9">
                  <c:v>2640151.71265551</c:v>
                </c:pt>
                <c:pt idx="10">
                  <c:v>2669738.02423852</c:v>
                </c:pt>
                <c:pt idx="11">
                  <c:v>2699324.33582154</c:v>
                </c:pt>
                <c:pt idx="12">
                  <c:v>2728910.64740455</c:v>
                </c:pt>
                <c:pt idx="13">
                  <c:v>2758496.95898756</c:v>
                </c:pt>
                <c:pt idx="14">
                  <c:v>2788083.27057057</c:v>
                </c:pt>
                <c:pt idx="15">
                  <c:v>2817669.58215358</c:v>
                </c:pt>
                <c:pt idx="16">
                  <c:v>2847255.89373659</c:v>
                </c:pt>
                <c:pt idx="17">
                  <c:v>2876842.20531961</c:v>
                </c:pt>
                <c:pt idx="18">
                  <c:v>2906428.51690262</c:v>
                </c:pt>
                <c:pt idx="19">
                  <c:v>2936014.82848563</c:v>
                </c:pt>
                <c:pt idx="20">
                  <c:v>2965601.14006864</c:v>
                </c:pt>
                <c:pt idx="21">
                  <c:v>2995187.45165165</c:v>
                </c:pt>
                <c:pt idx="22">
                  <c:v>3024773.76323466</c:v>
                </c:pt>
                <c:pt idx="23">
                  <c:v>3054360.07481767</c:v>
                </c:pt>
                <c:pt idx="24">
                  <c:v>3083946.38640069</c:v>
                </c:pt>
                <c:pt idx="25">
                  <c:v>3113532.6979837</c:v>
                </c:pt>
                <c:pt idx="26">
                  <c:v>3143119.00956671</c:v>
                </c:pt>
                <c:pt idx="27">
                  <c:v>3172705.32114972</c:v>
                </c:pt>
                <c:pt idx="28">
                  <c:v>3202291.63273273</c:v>
                </c:pt>
                <c:pt idx="29">
                  <c:v>3231877.94431574</c:v>
                </c:pt>
                <c:pt idx="30">
                  <c:v>3261464.25589876</c:v>
                </c:pt>
                <c:pt idx="31">
                  <c:v>3291050.56748177</c:v>
                </c:pt>
                <c:pt idx="32">
                  <c:v>3320636.87906478</c:v>
                </c:pt>
                <c:pt idx="33">
                  <c:v>3350223.19064779</c:v>
                </c:pt>
                <c:pt idx="34">
                  <c:v>3379809.5022308</c:v>
                </c:pt>
                <c:pt idx="35">
                  <c:v>3409395.81381381</c:v>
                </c:pt>
                <c:pt idx="36">
                  <c:v>3438982.12539683</c:v>
                </c:pt>
                <c:pt idx="37">
                  <c:v>3468568.43697984</c:v>
                </c:pt>
                <c:pt idx="38">
                  <c:v>3498154.74856285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495891"/>
        <c:axId val="47850220"/>
      </c:lineChart>
      <c:catAx>
        <c:axId val="31495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50220"/>
        <c:crosses val="autoZero"/>
        <c:auto val="1"/>
        <c:lblAlgn val="ctr"/>
        <c:lblOffset val="100"/>
        <c:noMultiLvlLbl val="0"/>
      </c:catAx>
      <c:valAx>
        <c:axId val="47850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subscriptions opened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958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131040</xdr:rowOff>
    </xdr:from>
    <xdr:to>
      <xdr:col>18</xdr:col>
      <xdr:colOff>334080</xdr:colOff>
      <xdr:row>26</xdr:row>
      <xdr:rowOff>132120</xdr:rowOff>
    </xdr:to>
    <xdr:graphicFrame>
      <xdr:nvGraphicFramePr>
        <xdr:cNvPr id="0" name="Chart 1"/>
        <xdr:cNvGraphicFramePr/>
      </xdr:nvGraphicFramePr>
      <xdr:xfrm>
        <a:off x="5216040" y="21146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131040</xdr:rowOff>
    </xdr:from>
    <xdr:to>
      <xdr:col>18</xdr:col>
      <xdr:colOff>334080</xdr:colOff>
      <xdr:row>26</xdr:row>
      <xdr:rowOff>132120</xdr:rowOff>
    </xdr:to>
    <xdr:graphicFrame>
      <xdr:nvGraphicFramePr>
        <xdr:cNvPr id="1" name="Chart 1"/>
        <xdr:cNvGraphicFramePr/>
      </xdr:nvGraphicFramePr>
      <xdr:xfrm>
        <a:off x="5216040" y="21146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131040</xdr:rowOff>
    </xdr:from>
    <xdr:to>
      <xdr:col>18</xdr:col>
      <xdr:colOff>334080</xdr:colOff>
      <xdr:row>26</xdr:row>
      <xdr:rowOff>132120</xdr:rowOff>
    </xdr:to>
    <xdr:graphicFrame>
      <xdr:nvGraphicFramePr>
        <xdr:cNvPr id="2" name="Chart 1"/>
        <xdr:cNvGraphicFramePr/>
      </xdr:nvGraphicFramePr>
      <xdr:xfrm>
        <a:off x="5216040" y="21146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131040</xdr:rowOff>
    </xdr:from>
    <xdr:to>
      <xdr:col>18</xdr:col>
      <xdr:colOff>334080</xdr:colOff>
      <xdr:row>26</xdr:row>
      <xdr:rowOff>132120</xdr:rowOff>
    </xdr:to>
    <xdr:graphicFrame>
      <xdr:nvGraphicFramePr>
        <xdr:cNvPr id="3" name="Chart 1"/>
        <xdr:cNvGraphicFramePr/>
      </xdr:nvGraphicFramePr>
      <xdr:xfrm>
        <a:off x="5216040" y="21146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131040</xdr:rowOff>
    </xdr:from>
    <xdr:to>
      <xdr:col>18</xdr:col>
      <xdr:colOff>334080</xdr:colOff>
      <xdr:row>26</xdr:row>
      <xdr:rowOff>132120</xdr:rowOff>
    </xdr:to>
    <xdr:graphicFrame>
      <xdr:nvGraphicFramePr>
        <xdr:cNvPr id="4" name="Chart 1"/>
        <xdr:cNvGraphicFramePr/>
      </xdr:nvGraphicFramePr>
      <xdr:xfrm>
        <a:off x="5216040" y="21146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9</xdr:row>
      <xdr:rowOff>131040</xdr:rowOff>
    </xdr:from>
    <xdr:to>
      <xdr:col>18</xdr:col>
      <xdr:colOff>334080</xdr:colOff>
      <xdr:row>26</xdr:row>
      <xdr:rowOff>132120</xdr:rowOff>
    </xdr:to>
    <xdr:graphicFrame>
      <xdr:nvGraphicFramePr>
        <xdr:cNvPr id="5" name="Chart 1"/>
        <xdr:cNvGraphicFramePr/>
      </xdr:nvGraphicFramePr>
      <xdr:xfrm>
        <a:off x="5216040" y="21146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8" min="2" style="0" width="15"/>
  </cols>
  <sheetData>
    <row r="2" customFormat="false" ht="19.7" hidden="false" customHeight="false" outlineLevel="0" collapsed="false">
      <c r="B2" s="1" t="s">
        <v>13</v>
      </c>
    </row>
    <row r="4" customFormat="false" ht="15" hidden="false" customHeight="false" outlineLevel="0" collapsed="false">
      <c r="B4" s="4" t="s">
        <v>14</v>
      </c>
    </row>
    <row r="5" customFormat="false" ht="60" hidden="false" customHeight="true" outlineLevel="0" collapsed="false">
      <c r="B5" s="5" t="s">
        <v>15</v>
      </c>
      <c r="C5" s="5"/>
      <c r="D5" s="5"/>
      <c r="E5" s="5"/>
      <c r="F5" s="5"/>
      <c r="G5" s="5"/>
      <c r="H5" s="5"/>
    </row>
    <row r="8" customFormat="false" ht="15" hidden="false" customHeight="false" outlineLevel="0" collapsed="false">
      <c r="B8" s="4" t="s">
        <v>16</v>
      </c>
    </row>
    <row r="9" customFormat="false" ht="69.75" hidden="false" customHeight="true" outlineLevel="0" collapsed="false">
      <c r="B9" s="5" t="s">
        <v>17</v>
      </c>
      <c r="C9" s="5"/>
      <c r="D9" s="5"/>
      <c r="E9" s="5"/>
      <c r="F9" s="5"/>
      <c r="G9" s="5"/>
      <c r="H9" s="5"/>
    </row>
    <row r="13" customFormat="false" ht="15" hidden="false" customHeight="false" outlineLevel="0" collapsed="false">
      <c r="B13" s="4" t="s">
        <v>18</v>
      </c>
    </row>
    <row r="14" customFormat="false" ht="54.75" hidden="false" customHeight="true" outlineLevel="0" collapsed="false">
      <c r="B14" s="5" t="s">
        <v>19</v>
      </c>
      <c r="C14" s="5"/>
      <c r="D14" s="5"/>
      <c r="E14" s="5"/>
      <c r="F14" s="5"/>
      <c r="G14" s="5"/>
      <c r="H14" s="5"/>
    </row>
    <row r="18" customFormat="false" ht="15" hidden="false" customHeight="false" outlineLevel="0" collapsed="false">
      <c r="B18" s="4" t="s">
        <v>20</v>
      </c>
    </row>
    <row r="19" customFormat="false" ht="69.75" hidden="false" customHeight="true" outlineLevel="0" collapsed="false">
      <c r="B19" s="5" t="s">
        <v>21</v>
      </c>
      <c r="C19" s="5"/>
      <c r="D19" s="5"/>
      <c r="E19" s="5"/>
      <c r="F19" s="5"/>
      <c r="G19" s="5"/>
      <c r="H19" s="5"/>
    </row>
  </sheetData>
  <mergeCells count="4">
    <mergeCell ref="B5:H5"/>
    <mergeCell ref="B9:H9"/>
    <mergeCell ref="B14:H14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</row>
    <row r="2" customFormat="false" ht="15" hidden="false" customHeight="false" outlineLevel="0" collapsed="false">
      <c r="A2" s="7" t="s">
        <v>31</v>
      </c>
      <c r="B2" s="7" t="n">
        <v>2020</v>
      </c>
      <c r="C2" s="7" t="n">
        <v>1</v>
      </c>
      <c r="D2" s="7" t="s">
        <v>32</v>
      </c>
      <c r="E2" s="7" t="n">
        <v>1</v>
      </c>
      <c r="F2" s="7" t="n">
        <v>732234</v>
      </c>
      <c r="G2" s="7" t="n">
        <v>6454</v>
      </c>
      <c r="H2" s="7" t="n">
        <f aca="false">F2-G2</f>
        <v>725780</v>
      </c>
      <c r="I2" s="8" t="n">
        <f aca="false">G2/F2</f>
        <v>0.00881412226146287</v>
      </c>
    </row>
    <row r="3" customFormat="false" ht="15" hidden="false" customHeight="false" outlineLevel="0" collapsed="false">
      <c r="A3" s="7" t="s">
        <v>31</v>
      </c>
      <c r="B3" s="7" t="n">
        <v>2020</v>
      </c>
      <c r="C3" s="7" t="n">
        <v>2</v>
      </c>
      <c r="D3" s="7" t="s">
        <v>33</v>
      </c>
      <c r="E3" s="7" t="n">
        <v>2</v>
      </c>
      <c r="F3" s="7" t="n">
        <v>639999</v>
      </c>
      <c r="G3" s="7" t="n">
        <v>4521</v>
      </c>
      <c r="H3" s="7" t="n">
        <f aca="false">F3-G3</f>
        <v>635478</v>
      </c>
      <c r="I3" s="8" t="n">
        <f aca="false">G3/F3</f>
        <v>0.0070640735376149</v>
      </c>
    </row>
    <row r="4" customFormat="false" ht="15" hidden="false" customHeight="false" outlineLevel="0" collapsed="false">
      <c r="A4" s="7" t="s">
        <v>31</v>
      </c>
      <c r="B4" s="7" t="n">
        <v>2020</v>
      </c>
      <c r="C4" s="7" t="n">
        <v>3</v>
      </c>
      <c r="D4" s="7" t="s">
        <v>34</v>
      </c>
      <c r="E4" s="7" t="n">
        <v>3</v>
      </c>
      <c r="F4" s="7" t="n">
        <v>1289369</v>
      </c>
      <c r="G4" s="7" t="n">
        <v>5984</v>
      </c>
      <c r="H4" s="7" t="n">
        <f aca="false">F4-G4</f>
        <v>1283385</v>
      </c>
      <c r="I4" s="8" t="n">
        <f aca="false">G4/F4</f>
        <v>0.00464102983707534</v>
      </c>
    </row>
    <row r="5" customFormat="false" ht="15" hidden="false" customHeight="false" outlineLevel="0" collapsed="false">
      <c r="A5" s="7" t="s">
        <v>31</v>
      </c>
      <c r="B5" s="7" t="n">
        <v>2020</v>
      </c>
      <c r="C5" s="7" t="n">
        <v>4</v>
      </c>
      <c r="D5" s="7" t="s">
        <v>35</v>
      </c>
      <c r="E5" s="7" t="n">
        <v>4</v>
      </c>
      <c r="F5" s="7" t="n">
        <v>789213</v>
      </c>
      <c r="G5" s="7" t="n">
        <v>12789</v>
      </c>
      <c r="H5" s="7" t="n">
        <f aca="false">F5-G5</f>
        <v>776424</v>
      </c>
      <c r="I5" s="8" t="n">
        <f aca="false">G5/F5</f>
        <v>0.016204750808717</v>
      </c>
    </row>
    <row r="6" customFormat="false" ht="15" hidden="false" customHeight="false" outlineLevel="0" collapsed="false">
      <c r="A6" s="7" t="s">
        <v>31</v>
      </c>
      <c r="B6" s="7" t="n">
        <v>2020</v>
      </c>
      <c r="C6" s="7" t="n">
        <v>5</v>
      </c>
      <c r="D6" s="7" t="s">
        <v>36</v>
      </c>
      <c r="E6" s="7" t="n">
        <v>5</v>
      </c>
      <c r="F6" s="7" t="n">
        <v>1558639</v>
      </c>
      <c r="G6" s="7" t="n">
        <v>9235</v>
      </c>
      <c r="H6" s="7" t="n">
        <f aca="false">F6-G6</f>
        <v>1549404</v>
      </c>
      <c r="I6" s="8" t="n">
        <f aca="false">G6/F6</f>
        <v>0.00592504101334562</v>
      </c>
    </row>
    <row r="7" customFormat="false" ht="15" hidden="false" customHeight="false" outlineLevel="0" collapsed="false">
      <c r="A7" s="7" t="s">
        <v>31</v>
      </c>
      <c r="B7" s="7" t="n">
        <v>2020</v>
      </c>
      <c r="C7" s="7" t="n">
        <v>6</v>
      </c>
      <c r="D7" s="7" t="s">
        <v>37</v>
      </c>
      <c r="E7" s="7" t="n">
        <v>6</v>
      </c>
      <c r="F7" s="7" t="n">
        <v>1758963</v>
      </c>
      <c r="G7" s="7" t="n">
        <v>18965</v>
      </c>
      <c r="H7" s="7" t="n">
        <f aca="false">F7-G7</f>
        <v>1739998</v>
      </c>
      <c r="I7" s="8" t="n">
        <f aca="false">G7/F7</f>
        <v>0.010781920938644</v>
      </c>
    </row>
    <row r="8" customFormat="false" ht="15" hidden="false" customHeight="false" outlineLevel="0" collapsed="false">
      <c r="A8" s="7" t="s">
        <v>31</v>
      </c>
      <c r="B8" s="7" t="n">
        <v>2020</v>
      </c>
      <c r="C8" s="7" t="n">
        <v>7</v>
      </c>
      <c r="D8" s="7" t="s">
        <v>38</v>
      </c>
      <c r="E8" s="7" t="n">
        <v>7</v>
      </c>
      <c r="F8" s="7" t="n">
        <v>1289236</v>
      </c>
      <c r="G8" s="7" t="n">
        <v>15984</v>
      </c>
      <c r="H8" s="7" t="n">
        <f aca="false">F8-G8</f>
        <v>1273252</v>
      </c>
      <c r="I8" s="8" t="n">
        <f aca="false">G8/F8</f>
        <v>0.0123980403898123</v>
      </c>
    </row>
    <row r="9" customFormat="false" ht="15" hidden="false" customHeight="false" outlineLevel="0" collapsed="false">
      <c r="A9" s="7" t="s">
        <v>31</v>
      </c>
      <c r="B9" s="7" t="n">
        <v>2020</v>
      </c>
      <c r="C9" s="7" t="n">
        <v>8</v>
      </c>
      <c r="D9" s="7" t="s">
        <v>39</v>
      </c>
      <c r="E9" s="7" t="n">
        <v>8</v>
      </c>
      <c r="F9" s="7" t="n">
        <v>989236</v>
      </c>
      <c r="G9" s="7" t="n">
        <v>3256</v>
      </c>
      <c r="H9" s="7" t="n">
        <f aca="false">F9-G9</f>
        <v>985980</v>
      </c>
      <c r="I9" s="8" t="n">
        <f aca="false">G9/F9</f>
        <v>0.00329142894112224</v>
      </c>
    </row>
    <row r="10" customFormat="false" ht="15" hidden="false" customHeight="false" outlineLevel="0" collapsed="false">
      <c r="A10" s="7" t="s">
        <v>31</v>
      </c>
      <c r="B10" s="7" t="n">
        <v>2020</v>
      </c>
      <c r="C10" s="7" t="n">
        <v>9</v>
      </c>
      <c r="D10" s="7" t="s">
        <v>40</v>
      </c>
      <c r="E10" s="7" t="n">
        <v>9</v>
      </c>
      <c r="F10" s="7" t="n">
        <v>653896</v>
      </c>
      <c r="G10" s="7" t="n">
        <v>11202</v>
      </c>
      <c r="H10" s="7" t="n">
        <f aca="false">F10-G10</f>
        <v>642694</v>
      </c>
      <c r="I10" s="8" t="n">
        <f aca="false">G10/F10</f>
        <v>0.0171311645888643</v>
      </c>
    </row>
    <row r="11" customFormat="false" ht="15" hidden="false" customHeight="false" outlineLevel="0" collapsed="false">
      <c r="A11" s="7" t="s">
        <v>31</v>
      </c>
      <c r="B11" s="7" t="n">
        <v>2020</v>
      </c>
      <c r="C11" s="7" t="n">
        <v>10</v>
      </c>
      <c r="D11" s="7" t="s">
        <v>41</v>
      </c>
      <c r="E11" s="7" t="n">
        <v>10</v>
      </c>
      <c r="F11" s="7" t="n">
        <v>474700</v>
      </c>
      <c r="G11" s="7" t="n">
        <v>12358</v>
      </c>
      <c r="H11" s="7" t="n">
        <f aca="false">F11-G11</f>
        <v>462342</v>
      </c>
      <c r="I11" s="8" t="n">
        <f aca="false">G11/F11</f>
        <v>0.0260332841794818</v>
      </c>
    </row>
    <row r="12" customFormat="false" ht="15" hidden="false" customHeight="false" outlineLevel="0" collapsed="false">
      <c r="A12" s="7" t="s">
        <v>31</v>
      </c>
      <c r="B12" s="7" t="n">
        <v>2020</v>
      </c>
      <c r="C12" s="7" t="n">
        <v>11</v>
      </c>
      <c r="D12" s="7" t="s">
        <v>42</v>
      </c>
      <c r="E12" s="7" t="n">
        <v>11</v>
      </c>
      <c r="F12" s="7" t="n">
        <v>396200</v>
      </c>
      <c r="G12" s="7" t="n">
        <v>8563</v>
      </c>
      <c r="H12" s="7" t="n">
        <f aca="false">F12-G12</f>
        <v>387637</v>
      </c>
      <c r="I12" s="8" t="n">
        <f aca="false">G12/F12</f>
        <v>0.0216128218071681</v>
      </c>
    </row>
    <row r="13" customFormat="false" ht="15" hidden="false" customHeight="false" outlineLevel="0" collapsed="false">
      <c r="A13" s="7" t="s">
        <v>31</v>
      </c>
      <c r="B13" s="7" t="n">
        <v>2020</v>
      </c>
      <c r="C13" s="7" t="n">
        <v>12</v>
      </c>
      <c r="D13" s="7" t="s">
        <v>43</v>
      </c>
      <c r="E13" s="7" t="n">
        <v>12</v>
      </c>
      <c r="F13" s="7" t="n">
        <v>823963</v>
      </c>
      <c r="G13" s="7" t="n">
        <v>5412</v>
      </c>
      <c r="H13" s="7" t="n">
        <f aca="false">F13-G13</f>
        <v>818551</v>
      </c>
      <c r="I13" s="8" t="n">
        <f aca="false">G13/F13</f>
        <v>0.00656825609887823</v>
      </c>
    </row>
    <row r="14" customFormat="false" ht="15" hidden="false" customHeight="false" outlineLevel="0" collapsed="false">
      <c r="A14" s="7" t="s">
        <v>31</v>
      </c>
      <c r="B14" s="7" t="n">
        <v>2021</v>
      </c>
      <c r="C14" s="7" t="n">
        <v>1</v>
      </c>
      <c r="D14" s="7" t="s">
        <v>44</v>
      </c>
      <c r="E14" s="7" t="n">
        <v>13</v>
      </c>
      <c r="F14" s="7" t="n">
        <v>526563</v>
      </c>
      <c r="G14" s="7" t="n">
        <v>2201</v>
      </c>
      <c r="H14" s="7" t="n">
        <f aca="false">F14-G14</f>
        <v>524362</v>
      </c>
      <c r="I14" s="8" t="n">
        <f aca="false">G14/F14</f>
        <v>0.00417993668373965</v>
      </c>
    </row>
    <row r="15" customFormat="false" ht="15" hidden="false" customHeight="false" outlineLevel="0" collapsed="false">
      <c r="A15" s="7" t="s">
        <v>31</v>
      </c>
      <c r="B15" s="7" t="n">
        <v>2021</v>
      </c>
      <c r="C15" s="7" t="n">
        <v>2</v>
      </c>
      <c r="D15" s="7" t="s">
        <v>45</v>
      </c>
      <c r="E15" s="7" t="n">
        <v>14</v>
      </c>
      <c r="F15" s="7" t="n">
        <v>485636</v>
      </c>
      <c r="G15" s="7" t="n">
        <v>2369</v>
      </c>
      <c r="H15" s="7" t="n">
        <f aca="false">F15-G15</f>
        <v>483267</v>
      </c>
      <c r="I15" s="8" t="n">
        <f aca="false">G15/F15</f>
        <v>0.00487813918243293</v>
      </c>
    </row>
    <row r="16" customFormat="false" ht="15" hidden="false" customHeight="false" outlineLevel="0" collapsed="false">
      <c r="A16" s="7" t="s">
        <v>31</v>
      </c>
      <c r="B16" s="7" t="n">
        <v>2021</v>
      </c>
      <c r="C16" s="7" t="n">
        <v>3</v>
      </c>
      <c r="D16" s="7" t="s">
        <v>46</v>
      </c>
      <c r="E16" s="7" t="n">
        <v>15</v>
      </c>
      <c r="F16" s="7" t="n">
        <v>589187</v>
      </c>
      <c r="G16" s="7" t="n">
        <v>12023</v>
      </c>
      <c r="H16" s="7" t="n">
        <f aca="false">F16-G16</f>
        <v>577164</v>
      </c>
      <c r="I16" s="8" t="n">
        <f aca="false">G16/F16</f>
        <v>0.0204060849950865</v>
      </c>
    </row>
    <row r="17" customFormat="false" ht="15" hidden="false" customHeight="false" outlineLevel="0" collapsed="false">
      <c r="A17" s="7" t="s">
        <v>31</v>
      </c>
      <c r="B17" s="7" t="n">
        <v>2021</v>
      </c>
      <c r="C17" s="7" t="n">
        <v>4</v>
      </c>
      <c r="D17" s="7" t="s">
        <v>47</v>
      </c>
      <c r="E17" s="7" t="n">
        <v>16</v>
      </c>
      <c r="F17" s="7" t="n">
        <v>1589634</v>
      </c>
      <c r="G17" s="7" t="n">
        <v>15268</v>
      </c>
      <c r="H17" s="7" t="n">
        <f aca="false">F17-G17</f>
        <v>1574366</v>
      </c>
      <c r="I17" s="8" t="n">
        <f aca="false">G17/F17</f>
        <v>0.00960472662260621</v>
      </c>
    </row>
    <row r="18" customFormat="false" ht="15" hidden="false" customHeight="false" outlineLevel="0" collapsed="false">
      <c r="A18" s="7" t="s">
        <v>31</v>
      </c>
      <c r="B18" s="7" t="n">
        <v>2021</v>
      </c>
      <c r="C18" s="7" t="n">
        <v>5</v>
      </c>
      <c r="D18" s="7" t="s">
        <v>48</v>
      </c>
      <c r="E18" s="7" t="n">
        <v>17</v>
      </c>
      <c r="F18" s="7" t="n">
        <v>953569</v>
      </c>
      <c r="G18" s="7" t="n">
        <v>23026</v>
      </c>
      <c r="H18" s="7" t="n">
        <f aca="false">F18-G18</f>
        <v>930543</v>
      </c>
      <c r="I18" s="8" t="n">
        <f aca="false">G18/F18</f>
        <v>0.0241471776032988</v>
      </c>
    </row>
    <row r="19" customFormat="false" ht="15" hidden="false" customHeight="false" outlineLevel="0" collapsed="false">
      <c r="A19" s="7" t="s">
        <v>31</v>
      </c>
      <c r="B19" s="7" t="n">
        <v>2021</v>
      </c>
      <c r="C19" s="7" t="n">
        <v>6</v>
      </c>
      <c r="D19" s="7" t="s">
        <v>49</v>
      </c>
      <c r="E19" s="7" t="n">
        <v>18</v>
      </c>
      <c r="F19" s="7" t="n">
        <v>689124</v>
      </c>
      <c r="G19" s="7" t="n">
        <v>2574</v>
      </c>
      <c r="H19" s="7" t="n">
        <f aca="false">F19-G19</f>
        <v>686550</v>
      </c>
      <c r="I19" s="8" t="n">
        <f aca="false">G19/F19</f>
        <v>0.00373517683319693</v>
      </c>
    </row>
    <row r="20" customFormat="false" ht="15" hidden="false" customHeight="false" outlineLevel="0" collapsed="false">
      <c r="A20" s="7" t="s">
        <v>31</v>
      </c>
      <c r="B20" s="7" t="n">
        <v>2021</v>
      </c>
      <c r="C20" s="7" t="n">
        <v>7</v>
      </c>
      <c r="D20" s="7" t="s">
        <v>50</v>
      </c>
      <c r="E20" s="7" t="n">
        <v>19</v>
      </c>
      <c r="F20" s="7" t="n">
        <v>1289235</v>
      </c>
      <c r="G20" s="7" t="n">
        <v>9526</v>
      </c>
      <c r="H20" s="7" t="n">
        <f aca="false">F20-G20</f>
        <v>1279709</v>
      </c>
      <c r="I20" s="8" t="n">
        <f aca="false">G20/F20</f>
        <v>0.00738887790046035</v>
      </c>
    </row>
    <row r="21" customFormat="false" ht="15" hidden="false" customHeight="false" outlineLevel="0" collapsed="false">
      <c r="A21" s="7" t="s">
        <v>31</v>
      </c>
      <c r="B21" s="7" t="n">
        <v>2021</v>
      </c>
      <c r="C21" s="7" t="n">
        <v>8</v>
      </c>
      <c r="D21" s="7" t="s">
        <v>51</v>
      </c>
      <c r="E21" s="7" t="n">
        <v>20</v>
      </c>
      <c r="F21" s="7" t="n">
        <v>958521</v>
      </c>
      <c r="G21" s="7" t="n">
        <v>3698</v>
      </c>
      <c r="H21" s="7" t="n">
        <f aca="false">F21-G21</f>
        <v>954823</v>
      </c>
      <c r="I21" s="8" t="n">
        <f aca="false">G21/F21</f>
        <v>0.00385802710634404</v>
      </c>
    </row>
    <row r="22" customFormat="false" ht="15" hidden="false" customHeight="false" outlineLevel="0" collapsed="false">
      <c r="A22" s="7" t="s">
        <v>31</v>
      </c>
      <c r="B22" s="7" t="n">
        <v>2021</v>
      </c>
      <c r="C22" s="7" t="n">
        <v>9</v>
      </c>
      <c r="D22" s="7" t="s">
        <v>52</v>
      </c>
      <c r="E22" s="7" t="n">
        <v>21</v>
      </c>
      <c r="F22" s="7" t="n">
        <v>1058741</v>
      </c>
      <c r="G22" s="7" t="n">
        <v>12534</v>
      </c>
      <c r="H22" s="7" t="n">
        <f aca="false">F22-G22</f>
        <v>1046207</v>
      </c>
      <c r="I22" s="8" t="n">
        <f aca="false">G22/F22</f>
        <v>0.0118385894189419</v>
      </c>
    </row>
    <row r="23" customFormat="false" ht="15" hidden="false" customHeight="false" outlineLevel="0" collapsed="false">
      <c r="A23" s="7" t="s">
        <v>31</v>
      </c>
      <c r="B23" s="7" t="n">
        <v>2021</v>
      </c>
      <c r="C23" s="7" t="n">
        <v>10</v>
      </c>
      <c r="D23" s="7" t="s">
        <v>53</v>
      </c>
      <c r="E23" s="7" t="n">
        <v>22</v>
      </c>
      <c r="F23" s="7" t="n">
        <v>552325</v>
      </c>
      <c r="G23" s="7" t="n">
        <v>8541</v>
      </c>
      <c r="H23" s="7" t="n">
        <f aca="false">F23-G23</f>
        <v>543784</v>
      </c>
      <c r="I23" s="8" t="n">
        <f aca="false">G23/F23</f>
        <v>0.0154637215407595</v>
      </c>
    </row>
    <row r="24" customFormat="false" ht="15" hidden="false" customHeight="false" outlineLevel="0" collapsed="false">
      <c r="A24" s="7" t="s">
        <v>31</v>
      </c>
      <c r="B24" s="7" t="n">
        <v>2021</v>
      </c>
      <c r="C24" s="7" t="n">
        <v>11</v>
      </c>
      <c r="D24" s="7" t="s">
        <v>54</v>
      </c>
      <c r="E24" s="7" t="n">
        <v>23</v>
      </c>
      <c r="F24" s="7" t="n">
        <v>820100</v>
      </c>
      <c r="G24" s="7" t="n">
        <v>9634</v>
      </c>
      <c r="H24" s="7" t="n">
        <f aca="false">F24-G24</f>
        <v>810466</v>
      </c>
      <c r="I24" s="8" t="n">
        <f aca="false">G24/F24</f>
        <v>0.0117473478844043</v>
      </c>
    </row>
    <row r="25" customFormat="false" ht="15" hidden="false" customHeight="false" outlineLevel="0" collapsed="false">
      <c r="A25" s="7" t="s">
        <v>31</v>
      </c>
      <c r="B25" s="7" t="n">
        <v>2021</v>
      </c>
      <c r="C25" s="7" t="n">
        <v>12</v>
      </c>
      <c r="D25" s="7" t="s">
        <v>55</v>
      </c>
      <c r="E25" s="7" t="n">
        <v>24</v>
      </c>
      <c r="F25" s="7" t="n">
        <v>256963</v>
      </c>
      <c r="G25" s="7" t="n">
        <v>2845</v>
      </c>
      <c r="H25" s="7" t="n">
        <f aca="false">F25-G25</f>
        <v>254118</v>
      </c>
      <c r="I25" s="8" t="n">
        <f aca="false">G25/F25</f>
        <v>0.0110716328809984</v>
      </c>
    </row>
    <row r="26" customFormat="false" ht="15" hidden="false" customHeight="false" outlineLevel="0" collapsed="false">
      <c r="A26" s="7" t="s">
        <v>31</v>
      </c>
      <c r="B26" s="7" t="n">
        <v>2022</v>
      </c>
      <c r="C26" s="7" t="n">
        <v>1</v>
      </c>
      <c r="D26" s="7" t="s">
        <v>56</v>
      </c>
      <c r="E26" s="7" t="n">
        <v>25</v>
      </c>
      <c r="F26" s="7" t="n">
        <v>658896</v>
      </c>
      <c r="G26" s="7" t="n">
        <v>6582</v>
      </c>
      <c r="H26" s="7" t="n">
        <f aca="false">F26-G26</f>
        <v>652314</v>
      </c>
      <c r="I26" s="8" t="n">
        <f aca="false">G26/F26</f>
        <v>0.00998943687622933</v>
      </c>
    </row>
    <row r="27" customFormat="false" ht="15" hidden="false" customHeight="false" outlineLevel="0" collapsed="false">
      <c r="A27" s="7" t="s">
        <v>31</v>
      </c>
      <c r="B27" s="7" t="n">
        <v>2022</v>
      </c>
      <c r="C27" s="7" t="n">
        <v>2</v>
      </c>
      <c r="D27" s="7" t="s">
        <v>57</v>
      </c>
      <c r="E27" s="7" t="n">
        <v>26</v>
      </c>
      <c r="F27" s="7" t="n">
        <v>552520</v>
      </c>
      <c r="G27" s="7" t="n">
        <v>1230</v>
      </c>
      <c r="H27" s="7" t="n">
        <f aca="false">F27-G27</f>
        <v>551290</v>
      </c>
      <c r="I27" s="8" t="n">
        <f aca="false">G27/F27</f>
        <v>0.00222616375877796</v>
      </c>
    </row>
    <row r="28" customFormat="false" ht="15" hidden="false" customHeight="false" outlineLevel="0" collapsed="false">
      <c r="A28" s="7" t="s">
        <v>31</v>
      </c>
      <c r="B28" s="7" t="n">
        <v>2022</v>
      </c>
      <c r="C28" s="7" t="n">
        <v>3</v>
      </c>
      <c r="D28" s="7" t="s">
        <v>58</v>
      </c>
      <c r="E28" s="7" t="n">
        <v>27</v>
      </c>
      <c r="F28" s="7" t="n">
        <v>1289563</v>
      </c>
      <c r="G28" s="7" t="n">
        <v>8963</v>
      </c>
      <c r="H28" s="7" t="n">
        <f aca="false">F28-G28</f>
        <v>1280600</v>
      </c>
      <c r="I28" s="8" t="n">
        <f aca="false">G28/F28</f>
        <v>0.0069504165364546</v>
      </c>
    </row>
    <row r="29" customFormat="false" ht="15" hidden="false" customHeight="false" outlineLevel="0" collapsed="false">
      <c r="A29" s="7" t="s">
        <v>31</v>
      </c>
      <c r="B29" s="7" t="n">
        <v>2022</v>
      </c>
      <c r="C29" s="7" t="n">
        <v>4</v>
      </c>
      <c r="D29" s="7" t="s">
        <v>59</v>
      </c>
      <c r="E29" s="7" t="n">
        <v>28</v>
      </c>
      <c r="F29" s="7" t="n">
        <v>1685325</v>
      </c>
      <c r="G29" s="7" t="n">
        <v>7895</v>
      </c>
      <c r="H29" s="7" t="n">
        <f aca="false">F29-G29</f>
        <v>1677430</v>
      </c>
      <c r="I29" s="8" t="n">
        <f aca="false">G29/F29</f>
        <v>0.00468455639120051</v>
      </c>
    </row>
    <row r="30" customFormat="false" ht="15" hidden="false" customHeight="false" outlineLevel="0" collapsed="false">
      <c r="A30" s="7" t="s">
        <v>31</v>
      </c>
      <c r="B30" s="7" t="n">
        <v>2022</v>
      </c>
      <c r="C30" s="7" t="n">
        <v>5</v>
      </c>
      <c r="D30" s="7" t="s">
        <v>60</v>
      </c>
      <c r="E30" s="7" t="n">
        <v>29</v>
      </c>
      <c r="F30" s="7" t="n">
        <v>2236987</v>
      </c>
      <c r="G30" s="7" t="n">
        <v>17562</v>
      </c>
      <c r="H30" s="7" t="n">
        <f aca="false">F30-G30</f>
        <v>2219425</v>
      </c>
      <c r="I30" s="8" t="n">
        <f aca="false">G30/F30</f>
        <v>0.00785073851569097</v>
      </c>
    </row>
    <row r="31" customFormat="false" ht="15" hidden="false" customHeight="false" outlineLevel="0" collapsed="false">
      <c r="A31" s="7" t="s">
        <v>31</v>
      </c>
      <c r="B31" s="7" t="n">
        <v>2022</v>
      </c>
      <c r="C31" s="7" t="n">
        <v>6</v>
      </c>
      <c r="D31" s="7" t="s">
        <v>61</v>
      </c>
      <c r="E31" s="7" t="n">
        <v>30</v>
      </c>
      <c r="F31" s="7" t="n">
        <v>1025452</v>
      </c>
      <c r="G31" s="7" t="n">
        <v>2514</v>
      </c>
      <c r="H31" s="7" t="n">
        <f aca="false">F31-G31</f>
        <v>1022938</v>
      </c>
      <c r="I31" s="8" t="n">
        <f aca="false">G31/F31</f>
        <v>0.00245160183021731</v>
      </c>
    </row>
    <row r="32" customFormat="false" ht="15" hidden="false" customHeight="false" outlineLevel="0" collapsed="false">
      <c r="A32" s="7" t="s">
        <v>31</v>
      </c>
      <c r="B32" s="7" t="n">
        <v>2022</v>
      </c>
      <c r="C32" s="7" t="n">
        <v>7</v>
      </c>
      <c r="D32" s="7" t="s">
        <v>62</v>
      </c>
      <c r="E32" s="7" t="n">
        <v>31</v>
      </c>
      <c r="F32" s="7" t="n">
        <v>1856235</v>
      </c>
      <c r="G32" s="7" t="n">
        <v>9689</v>
      </c>
      <c r="H32" s="7" t="n">
        <f aca="false">F32-G32</f>
        <v>1846546</v>
      </c>
      <c r="I32" s="8" t="n">
        <f aca="false">G32/F32</f>
        <v>0.00521970547910151</v>
      </c>
    </row>
    <row r="33" customFormat="false" ht="15" hidden="false" customHeight="false" outlineLevel="0" collapsed="false">
      <c r="A33" s="7" t="s">
        <v>31</v>
      </c>
      <c r="B33" s="7" t="n">
        <v>2022</v>
      </c>
      <c r="C33" s="7" t="n">
        <v>8</v>
      </c>
      <c r="D33" s="7" t="s">
        <v>63</v>
      </c>
      <c r="E33" s="7" t="n">
        <v>32</v>
      </c>
      <c r="F33" s="7" t="n">
        <v>689587</v>
      </c>
      <c r="G33" s="7" t="n">
        <v>20147</v>
      </c>
      <c r="H33" s="7" t="n">
        <f aca="false">F33-G33</f>
        <v>669440</v>
      </c>
      <c r="I33" s="8" t="n">
        <f aca="false">G33/F33</f>
        <v>0.0292160380053568</v>
      </c>
    </row>
    <row r="34" customFormat="false" ht="15" hidden="false" customHeight="false" outlineLevel="0" collapsed="false">
      <c r="A34" s="7" t="s">
        <v>31</v>
      </c>
      <c r="B34" s="7" t="n">
        <v>2022</v>
      </c>
      <c r="C34" s="7" t="n">
        <v>9</v>
      </c>
      <c r="D34" s="7" t="s">
        <v>64</v>
      </c>
      <c r="E34" s="7" t="n">
        <v>33</v>
      </c>
      <c r="F34" s="7" t="n">
        <v>985563</v>
      </c>
      <c r="G34" s="7" t="n">
        <v>5889</v>
      </c>
      <c r="H34" s="7" t="n">
        <f aca="false">F34-G34</f>
        <v>979674</v>
      </c>
      <c r="I34" s="8" t="n">
        <f aca="false">G34/F34</f>
        <v>0.00597526489935194</v>
      </c>
    </row>
    <row r="35" customFormat="false" ht="15" hidden="false" customHeight="false" outlineLevel="0" collapsed="false">
      <c r="A35" s="7" t="s">
        <v>31</v>
      </c>
      <c r="B35" s="7" t="n">
        <v>2022</v>
      </c>
      <c r="C35" s="7" t="n">
        <v>10</v>
      </c>
      <c r="D35" s="7" t="s">
        <v>65</v>
      </c>
      <c r="E35" s="7" t="n">
        <v>34</v>
      </c>
      <c r="F35" s="7" t="n">
        <v>498564</v>
      </c>
      <c r="G35" s="7" t="n">
        <v>16785</v>
      </c>
      <c r="H35" s="7" t="n">
        <f aca="false">F35-G35</f>
        <v>481779</v>
      </c>
      <c r="I35" s="8" t="n">
        <f aca="false">G35/F35</f>
        <v>0.0336666907357932</v>
      </c>
    </row>
    <row r="36" customFormat="false" ht="15" hidden="false" customHeight="false" outlineLevel="0" collapsed="false">
      <c r="A36" s="7" t="s">
        <v>31</v>
      </c>
      <c r="B36" s="7" t="n">
        <v>2022</v>
      </c>
      <c r="C36" s="7" t="n">
        <v>11</v>
      </c>
      <c r="D36" s="7" t="s">
        <v>66</v>
      </c>
      <c r="E36" s="7" t="n">
        <v>35</v>
      </c>
      <c r="F36" s="7" t="n">
        <v>585100</v>
      </c>
      <c r="G36" s="7" t="n">
        <v>1587</v>
      </c>
      <c r="H36" s="7" t="n">
        <f aca="false">F36-G36</f>
        <v>583513</v>
      </c>
      <c r="I36" s="8" t="n">
        <f aca="false">G36/F36</f>
        <v>0.00271235686207486</v>
      </c>
    </row>
    <row r="37" customFormat="false" ht="15" hidden="false" customHeight="false" outlineLevel="0" collapsed="false">
      <c r="A37" s="7" t="s">
        <v>31</v>
      </c>
      <c r="B37" s="7" t="n">
        <v>2022</v>
      </c>
      <c r="C37" s="7" t="n">
        <v>12</v>
      </c>
      <c r="D37" s="7" t="s">
        <v>67</v>
      </c>
      <c r="E37" s="7" t="n">
        <v>36</v>
      </c>
      <c r="F37" s="7" t="n">
        <v>978523</v>
      </c>
      <c r="G37" s="7" t="n">
        <v>6398</v>
      </c>
      <c r="H37" s="7" t="n">
        <f aca="false">F37-G37</f>
        <v>972125</v>
      </c>
      <c r="I37" s="8" t="n">
        <f aca="false">G37/F37</f>
        <v>0.00653842577026805</v>
      </c>
    </row>
    <row r="38" customFormat="false" ht="15" hidden="false" customHeight="false" outlineLevel="0" collapsed="false">
      <c r="A38" s="7" t="s">
        <v>68</v>
      </c>
      <c r="B38" s="7" t="n">
        <v>2020</v>
      </c>
      <c r="C38" s="7" t="n">
        <v>1</v>
      </c>
      <c r="D38" s="7" t="s">
        <v>32</v>
      </c>
      <c r="E38" s="7" t="n">
        <v>1</v>
      </c>
      <c r="F38" s="7" t="n">
        <v>162899</v>
      </c>
      <c r="G38" s="7" t="n">
        <v>427</v>
      </c>
      <c r="H38" s="7" t="n">
        <f aca="false">F38-G38</f>
        <v>162472</v>
      </c>
      <c r="I38" s="8" t="n">
        <f aca="false">G38/F38</f>
        <v>0.00262125611575271</v>
      </c>
    </row>
    <row r="39" customFormat="false" ht="15" hidden="false" customHeight="false" outlineLevel="0" collapsed="false">
      <c r="A39" s="7" t="s">
        <v>68</v>
      </c>
      <c r="B39" s="7" t="n">
        <v>2020</v>
      </c>
      <c r="C39" s="7" t="n">
        <v>2</v>
      </c>
      <c r="D39" s="7" t="s">
        <v>33</v>
      </c>
      <c r="E39" s="7" t="n">
        <v>2</v>
      </c>
      <c r="F39" s="7" t="n">
        <v>176099</v>
      </c>
      <c r="G39" s="7" t="n">
        <v>509</v>
      </c>
      <c r="H39" s="7" t="n">
        <f aca="false">F39-G39</f>
        <v>175590</v>
      </c>
      <c r="I39" s="8" t="n">
        <f aca="false">G39/F39</f>
        <v>0.0028904195935241</v>
      </c>
    </row>
    <row r="40" customFormat="false" ht="15" hidden="false" customHeight="false" outlineLevel="0" collapsed="false">
      <c r="A40" s="7" t="s">
        <v>68</v>
      </c>
      <c r="B40" s="7" t="n">
        <v>2020</v>
      </c>
      <c r="C40" s="7" t="n">
        <v>3</v>
      </c>
      <c r="D40" s="7" t="s">
        <v>34</v>
      </c>
      <c r="E40" s="7" t="n">
        <v>3</v>
      </c>
      <c r="F40" s="7" t="n">
        <v>186764</v>
      </c>
      <c r="G40" s="7" t="n">
        <v>1083</v>
      </c>
      <c r="H40" s="7" t="n">
        <f aca="false">F40-G40</f>
        <v>185681</v>
      </c>
      <c r="I40" s="8" t="n">
        <f aca="false">G40/F40</f>
        <v>0.00579876207406138</v>
      </c>
    </row>
    <row r="41" customFormat="false" ht="15" hidden="false" customHeight="false" outlineLevel="0" collapsed="false">
      <c r="A41" s="7" t="s">
        <v>68</v>
      </c>
      <c r="B41" s="7" t="n">
        <v>2020</v>
      </c>
      <c r="C41" s="7" t="n">
        <v>4</v>
      </c>
      <c r="D41" s="7" t="s">
        <v>35</v>
      </c>
      <c r="E41" s="7" t="n">
        <v>4</v>
      </c>
      <c r="F41" s="7" t="n">
        <v>199499</v>
      </c>
      <c r="G41" s="7" t="n">
        <v>2678</v>
      </c>
      <c r="H41" s="7" t="n">
        <f aca="false">F41-G41</f>
        <v>196821</v>
      </c>
      <c r="I41" s="8" t="n">
        <f aca="false">G41/F41</f>
        <v>0.0134236261835899</v>
      </c>
    </row>
    <row r="42" customFormat="false" ht="15" hidden="false" customHeight="false" outlineLevel="0" collapsed="false">
      <c r="A42" s="7" t="s">
        <v>68</v>
      </c>
      <c r="B42" s="7" t="n">
        <v>2020</v>
      </c>
      <c r="C42" s="7" t="n">
        <v>5</v>
      </c>
      <c r="D42" s="7" t="s">
        <v>36</v>
      </c>
      <c r="E42" s="7" t="n">
        <v>5</v>
      </c>
      <c r="F42" s="7" t="n">
        <v>208591</v>
      </c>
      <c r="G42" s="7" t="n">
        <v>1752</v>
      </c>
      <c r="H42" s="7" t="n">
        <f aca="false">F42-G42</f>
        <v>206839</v>
      </c>
      <c r="I42" s="8" t="n">
        <f aca="false">G42/F42</f>
        <v>0.00839921185477801</v>
      </c>
    </row>
    <row r="43" customFormat="false" ht="15" hidden="false" customHeight="false" outlineLevel="0" collapsed="false">
      <c r="A43" s="7" t="s">
        <v>68</v>
      </c>
      <c r="B43" s="7" t="n">
        <v>2020</v>
      </c>
      <c r="C43" s="7" t="n">
        <v>6</v>
      </c>
      <c r="D43" s="7" t="s">
        <v>37</v>
      </c>
      <c r="E43" s="7" t="n">
        <v>6</v>
      </c>
      <c r="F43" s="7" t="n">
        <v>340737</v>
      </c>
      <c r="G43" s="7" t="n">
        <v>1799</v>
      </c>
      <c r="H43" s="7" t="n">
        <f aca="false">F43-G43</f>
        <v>338938</v>
      </c>
      <c r="I43" s="8" t="n">
        <f aca="false">G43/F43</f>
        <v>0.00527973187531733</v>
      </c>
    </row>
    <row r="44" customFormat="false" ht="15" hidden="false" customHeight="false" outlineLevel="0" collapsed="false">
      <c r="A44" s="7" t="s">
        <v>68</v>
      </c>
      <c r="B44" s="7" t="n">
        <v>2020</v>
      </c>
      <c r="C44" s="7" t="n">
        <v>7</v>
      </c>
      <c r="D44" s="7" t="s">
        <v>38</v>
      </c>
      <c r="E44" s="7" t="n">
        <v>7</v>
      </c>
      <c r="F44" s="7" t="n">
        <v>238052</v>
      </c>
      <c r="G44" s="7" t="n">
        <v>2010</v>
      </c>
      <c r="H44" s="7" t="n">
        <f aca="false">F44-G44</f>
        <v>236042</v>
      </c>
      <c r="I44" s="8" t="n">
        <f aca="false">G44/F44</f>
        <v>0.00844353334565557</v>
      </c>
    </row>
    <row r="45" customFormat="false" ht="15" hidden="false" customHeight="false" outlineLevel="0" collapsed="false">
      <c r="A45" s="7" t="s">
        <v>68</v>
      </c>
      <c r="B45" s="7" t="n">
        <v>2020</v>
      </c>
      <c r="C45" s="7" t="n">
        <v>8</v>
      </c>
      <c r="D45" s="7" t="s">
        <v>39</v>
      </c>
      <c r="E45" s="7" t="n">
        <v>8</v>
      </c>
      <c r="F45" s="7" t="n">
        <v>248527</v>
      </c>
      <c r="G45" s="7" t="n">
        <v>757</v>
      </c>
      <c r="H45" s="7" t="n">
        <f aca="false">F45-G45</f>
        <v>247770</v>
      </c>
      <c r="I45" s="8" t="n">
        <f aca="false">G45/F45</f>
        <v>0.00304594671806283</v>
      </c>
    </row>
    <row r="46" customFormat="false" ht="15" hidden="false" customHeight="false" outlineLevel="0" collapsed="false">
      <c r="A46" s="7" t="s">
        <v>68</v>
      </c>
      <c r="B46" s="7" t="n">
        <v>2020</v>
      </c>
      <c r="C46" s="7" t="n">
        <v>9</v>
      </c>
      <c r="D46" s="7" t="s">
        <v>40</v>
      </c>
      <c r="E46" s="7" t="n">
        <v>9</v>
      </c>
      <c r="F46" s="7" t="n">
        <v>260195</v>
      </c>
      <c r="G46" s="7" t="n">
        <v>258</v>
      </c>
      <c r="H46" s="7" t="n">
        <f aca="false">F46-G46</f>
        <v>259937</v>
      </c>
      <c r="I46" s="8" t="n">
        <f aca="false">G46/F46</f>
        <v>0.000991564019293222</v>
      </c>
    </row>
    <row r="47" customFormat="false" ht="15" hidden="false" customHeight="false" outlineLevel="0" collapsed="false">
      <c r="A47" s="7" t="s">
        <v>68</v>
      </c>
      <c r="B47" s="7" t="n">
        <v>2020</v>
      </c>
      <c r="C47" s="7" t="n">
        <v>10</v>
      </c>
      <c r="D47" s="7" t="s">
        <v>41</v>
      </c>
      <c r="E47" s="7" t="n">
        <v>10</v>
      </c>
      <c r="F47" s="7" t="n">
        <v>269879</v>
      </c>
      <c r="G47" s="7" t="n">
        <v>2272</v>
      </c>
      <c r="H47" s="7" t="n">
        <f aca="false">F47-G47</f>
        <v>267607</v>
      </c>
      <c r="I47" s="8" t="n">
        <f aca="false">G47/F47</f>
        <v>0.00841858758925296</v>
      </c>
    </row>
    <row r="48" customFormat="false" ht="15" hidden="false" customHeight="false" outlineLevel="0" collapsed="false">
      <c r="A48" s="7" t="s">
        <v>68</v>
      </c>
      <c r="B48" s="7" t="n">
        <v>2020</v>
      </c>
      <c r="C48" s="7" t="n">
        <v>11</v>
      </c>
      <c r="D48" s="7" t="s">
        <v>42</v>
      </c>
      <c r="E48" s="7" t="n">
        <v>11</v>
      </c>
      <c r="F48" s="7" t="n">
        <v>282528</v>
      </c>
      <c r="G48" s="7" t="n">
        <v>360</v>
      </c>
      <c r="H48" s="7" t="n">
        <f aca="false">F48-G48</f>
        <v>282168</v>
      </c>
      <c r="I48" s="8" t="n">
        <f aca="false">G48/F48</f>
        <v>0.00127420998980632</v>
      </c>
    </row>
    <row r="49" customFormat="false" ht="15" hidden="false" customHeight="false" outlineLevel="0" collapsed="false">
      <c r="A49" s="7" t="s">
        <v>68</v>
      </c>
      <c r="B49" s="7" t="n">
        <v>2020</v>
      </c>
      <c r="C49" s="7" t="n">
        <v>12</v>
      </c>
      <c r="D49" s="7" t="s">
        <v>43</v>
      </c>
      <c r="E49" s="7" t="n">
        <v>12</v>
      </c>
      <c r="F49" s="7" t="n">
        <v>440769</v>
      </c>
      <c r="G49" s="7" t="n">
        <v>1256</v>
      </c>
      <c r="H49" s="7" t="n">
        <f aca="false">F49-G49</f>
        <v>439513</v>
      </c>
      <c r="I49" s="8" t="n">
        <f aca="false">G49/F49</f>
        <v>0.00284956519174443</v>
      </c>
    </row>
    <row r="50" customFormat="false" ht="15" hidden="false" customHeight="false" outlineLevel="0" collapsed="false">
      <c r="A50" s="7" t="s">
        <v>68</v>
      </c>
      <c r="B50" s="7" t="n">
        <v>2021</v>
      </c>
      <c r="C50" s="7" t="n">
        <v>1</v>
      </c>
      <c r="D50" s="7" t="s">
        <v>44</v>
      </c>
      <c r="E50" s="7" t="n">
        <v>13</v>
      </c>
      <c r="F50" s="7" t="n">
        <v>187762</v>
      </c>
      <c r="G50" s="7" t="n">
        <v>684</v>
      </c>
      <c r="H50" s="7" t="n">
        <f aca="false">F50-G50</f>
        <v>187078</v>
      </c>
      <c r="I50" s="8" t="n">
        <f aca="false">G50/F50</f>
        <v>0.00364290964092841</v>
      </c>
    </row>
    <row r="51" customFormat="false" ht="15" hidden="false" customHeight="false" outlineLevel="0" collapsed="false">
      <c r="A51" s="7" t="s">
        <v>68</v>
      </c>
      <c r="B51" s="7" t="n">
        <v>2021</v>
      </c>
      <c r="C51" s="7" t="n">
        <v>2</v>
      </c>
      <c r="D51" s="7" t="s">
        <v>45</v>
      </c>
      <c r="E51" s="7" t="n">
        <v>14</v>
      </c>
      <c r="F51" s="7" t="n">
        <v>196055</v>
      </c>
      <c r="G51" s="7" t="n">
        <v>948</v>
      </c>
      <c r="H51" s="7" t="n">
        <f aca="false">F51-G51</f>
        <v>195107</v>
      </c>
      <c r="I51" s="8" t="n">
        <f aca="false">G51/F51</f>
        <v>0.0048353778276504</v>
      </c>
    </row>
    <row r="52" customFormat="false" ht="15" hidden="false" customHeight="false" outlineLevel="0" collapsed="false">
      <c r="A52" s="7" t="s">
        <v>68</v>
      </c>
      <c r="B52" s="7" t="n">
        <v>2021</v>
      </c>
      <c r="C52" s="7" t="n">
        <v>3</v>
      </c>
      <c r="D52" s="7" t="s">
        <v>46</v>
      </c>
      <c r="E52" s="7" t="n">
        <v>15</v>
      </c>
      <c r="F52" s="7" t="n">
        <v>209881</v>
      </c>
      <c r="G52" s="7" t="n">
        <v>1707</v>
      </c>
      <c r="H52" s="7" t="n">
        <f aca="false">F52-G52</f>
        <v>208174</v>
      </c>
      <c r="I52" s="8" t="n">
        <f aca="false">G52/F52</f>
        <v>0.00813318023070216</v>
      </c>
    </row>
    <row r="53" customFormat="false" ht="15" hidden="false" customHeight="false" outlineLevel="0" collapsed="false">
      <c r="A53" s="7" t="s">
        <v>68</v>
      </c>
      <c r="B53" s="7" t="n">
        <v>2021</v>
      </c>
      <c r="C53" s="7" t="n">
        <v>4</v>
      </c>
      <c r="D53" s="7" t="s">
        <v>47</v>
      </c>
      <c r="E53" s="7" t="n">
        <v>16</v>
      </c>
      <c r="F53" s="7" t="n">
        <v>220678</v>
      </c>
      <c r="G53" s="7" t="n">
        <v>2890</v>
      </c>
      <c r="H53" s="7" t="n">
        <f aca="false">F53-G53</f>
        <v>217788</v>
      </c>
      <c r="I53" s="8" t="n">
        <f aca="false">G53/F53</f>
        <v>0.0130960041327183</v>
      </c>
    </row>
    <row r="54" customFormat="false" ht="15" hidden="false" customHeight="false" outlineLevel="0" collapsed="false">
      <c r="A54" s="7" t="s">
        <v>68</v>
      </c>
      <c r="B54" s="7" t="n">
        <v>2021</v>
      </c>
      <c r="C54" s="7" t="n">
        <v>5</v>
      </c>
      <c r="D54" s="7" t="s">
        <v>48</v>
      </c>
      <c r="E54" s="7" t="n">
        <v>17</v>
      </c>
      <c r="F54" s="7" t="n">
        <v>235335</v>
      </c>
      <c r="G54" s="7" t="n">
        <v>1656</v>
      </c>
      <c r="H54" s="7" t="n">
        <f aca="false">F54-G54</f>
        <v>233679</v>
      </c>
      <c r="I54" s="8" t="n">
        <f aca="false">G54/F54</f>
        <v>0.00703677735993371</v>
      </c>
    </row>
    <row r="55" customFormat="false" ht="15" hidden="false" customHeight="false" outlineLevel="0" collapsed="false">
      <c r="A55" s="7" t="s">
        <v>68</v>
      </c>
      <c r="B55" s="7" t="n">
        <v>2021</v>
      </c>
      <c r="C55" s="7" t="n">
        <v>6</v>
      </c>
      <c r="D55" s="7" t="s">
        <v>49</v>
      </c>
      <c r="E55" s="7" t="n">
        <v>18</v>
      </c>
      <c r="F55" s="7" t="n">
        <v>368064</v>
      </c>
      <c r="G55" s="7" t="n">
        <v>2317</v>
      </c>
      <c r="H55" s="7" t="n">
        <f aca="false">F55-G55</f>
        <v>365747</v>
      </c>
      <c r="I55" s="8" t="n">
        <f aca="false">G55/F55</f>
        <v>0.00629510085202573</v>
      </c>
    </row>
    <row r="56" customFormat="false" ht="15" hidden="false" customHeight="false" outlineLevel="0" collapsed="false">
      <c r="A56" s="7" t="s">
        <v>68</v>
      </c>
      <c r="B56" s="7" t="n">
        <v>2021</v>
      </c>
      <c r="C56" s="7" t="n">
        <v>7</v>
      </c>
      <c r="D56" s="7" t="s">
        <v>50</v>
      </c>
      <c r="E56" s="7" t="n">
        <v>19</v>
      </c>
      <c r="F56" s="7" t="n">
        <v>257341</v>
      </c>
      <c r="G56" s="7" t="n">
        <v>473</v>
      </c>
      <c r="H56" s="7" t="n">
        <f aca="false">F56-G56</f>
        <v>256868</v>
      </c>
      <c r="I56" s="8" t="n">
        <f aca="false">G56/F56</f>
        <v>0.00183802814164863</v>
      </c>
    </row>
    <row r="57" customFormat="false" ht="15" hidden="false" customHeight="false" outlineLevel="0" collapsed="false">
      <c r="A57" s="7" t="s">
        <v>68</v>
      </c>
      <c r="B57" s="7" t="n">
        <v>2021</v>
      </c>
      <c r="C57" s="7" t="n">
        <v>8</v>
      </c>
      <c r="D57" s="7" t="s">
        <v>51</v>
      </c>
      <c r="E57" s="7" t="n">
        <v>20</v>
      </c>
      <c r="F57" s="7" t="n">
        <v>267464</v>
      </c>
      <c r="G57" s="7" t="n">
        <v>3440</v>
      </c>
      <c r="H57" s="7" t="n">
        <f aca="false">F57-G57</f>
        <v>264024</v>
      </c>
      <c r="I57" s="8" t="n">
        <f aca="false">G57/F57</f>
        <v>0.0128615439834894</v>
      </c>
    </row>
    <row r="58" customFormat="false" ht="15" hidden="false" customHeight="false" outlineLevel="0" collapsed="false">
      <c r="A58" s="7" t="s">
        <v>68</v>
      </c>
      <c r="B58" s="7" t="n">
        <v>2021</v>
      </c>
      <c r="C58" s="7" t="n">
        <v>9</v>
      </c>
      <c r="D58" s="7" t="s">
        <v>52</v>
      </c>
      <c r="E58" s="7" t="n">
        <v>21</v>
      </c>
      <c r="F58" s="7" t="n">
        <v>274918</v>
      </c>
      <c r="G58" s="7" t="n">
        <v>383</v>
      </c>
      <c r="H58" s="7" t="n">
        <f aca="false">F58-G58</f>
        <v>274535</v>
      </c>
      <c r="I58" s="8" t="n">
        <f aca="false">G58/F58</f>
        <v>0.00139314268254534</v>
      </c>
    </row>
    <row r="59" customFormat="false" ht="15" hidden="false" customHeight="false" outlineLevel="0" collapsed="false">
      <c r="A59" s="7" t="s">
        <v>68</v>
      </c>
      <c r="B59" s="7" t="n">
        <v>2021</v>
      </c>
      <c r="C59" s="7" t="n">
        <v>10</v>
      </c>
      <c r="D59" s="7" t="s">
        <v>53</v>
      </c>
      <c r="E59" s="7" t="n">
        <v>22</v>
      </c>
      <c r="F59" s="7" t="n">
        <v>282747</v>
      </c>
      <c r="G59" s="7" t="n">
        <v>2859</v>
      </c>
      <c r="H59" s="7" t="n">
        <f aca="false">F59-G59</f>
        <v>279888</v>
      </c>
      <c r="I59" s="8" t="n">
        <f aca="false">G59/F59</f>
        <v>0.0101115131195026</v>
      </c>
    </row>
    <row r="60" customFormat="false" ht="15" hidden="false" customHeight="false" outlineLevel="0" collapsed="false">
      <c r="A60" s="7" t="s">
        <v>68</v>
      </c>
      <c r="B60" s="7" t="n">
        <v>2021</v>
      </c>
      <c r="C60" s="7" t="n">
        <v>11</v>
      </c>
      <c r="D60" s="7" t="s">
        <v>54</v>
      </c>
      <c r="E60" s="7" t="n">
        <v>23</v>
      </c>
      <c r="F60" s="7" t="n">
        <v>293105</v>
      </c>
      <c r="G60" s="7" t="n">
        <v>2836</v>
      </c>
      <c r="H60" s="7" t="n">
        <f aca="false">F60-G60</f>
        <v>290269</v>
      </c>
      <c r="I60" s="8" t="n">
        <f aca="false">G60/F60</f>
        <v>0.00967571348151686</v>
      </c>
    </row>
    <row r="61" customFormat="false" ht="15" hidden="false" customHeight="false" outlineLevel="0" collapsed="false">
      <c r="A61" s="7" t="s">
        <v>68</v>
      </c>
      <c r="B61" s="7" t="n">
        <v>2021</v>
      </c>
      <c r="C61" s="7" t="n">
        <v>12</v>
      </c>
      <c r="D61" s="7" t="s">
        <v>55</v>
      </c>
      <c r="E61" s="7" t="n">
        <v>24</v>
      </c>
      <c r="F61" s="7" t="n">
        <v>455429</v>
      </c>
      <c r="G61" s="7" t="n">
        <v>2384</v>
      </c>
      <c r="H61" s="7" t="n">
        <f aca="false">F61-G61</f>
        <v>453045</v>
      </c>
      <c r="I61" s="8" t="n">
        <f aca="false">G61/F61</f>
        <v>0.00523462493604931</v>
      </c>
    </row>
    <row r="62" customFormat="false" ht="15" hidden="false" customHeight="false" outlineLevel="0" collapsed="false">
      <c r="A62" s="7" t="s">
        <v>68</v>
      </c>
      <c r="B62" s="7" t="n">
        <v>2022</v>
      </c>
      <c r="C62" s="7" t="n">
        <v>1</v>
      </c>
      <c r="D62" s="7" t="s">
        <v>56</v>
      </c>
      <c r="E62" s="7" t="n">
        <v>25</v>
      </c>
      <c r="F62" s="7" t="n">
        <v>194340</v>
      </c>
      <c r="G62" s="7" t="n">
        <v>1508</v>
      </c>
      <c r="H62" s="7" t="n">
        <f aca="false">F62-G62</f>
        <v>192832</v>
      </c>
      <c r="I62" s="8" t="n">
        <f aca="false">G62/F62</f>
        <v>0.00775959658330761</v>
      </c>
    </row>
    <row r="63" customFormat="false" ht="15" hidden="false" customHeight="false" outlineLevel="0" collapsed="false">
      <c r="A63" s="7" t="s">
        <v>68</v>
      </c>
      <c r="B63" s="7" t="n">
        <v>2022</v>
      </c>
      <c r="C63" s="7" t="n">
        <v>2</v>
      </c>
      <c r="D63" s="7" t="s">
        <v>57</v>
      </c>
      <c r="E63" s="7" t="n">
        <v>26</v>
      </c>
      <c r="F63" s="7" t="n">
        <v>202899</v>
      </c>
      <c r="G63" s="7" t="n">
        <v>3217</v>
      </c>
      <c r="H63" s="7" t="n">
        <f aca="false">F63-G63</f>
        <v>199682</v>
      </c>
      <c r="I63" s="8" t="n">
        <f aca="false">G63/F63</f>
        <v>0.0158551791778175</v>
      </c>
    </row>
    <row r="64" customFormat="false" ht="15" hidden="false" customHeight="false" outlineLevel="0" collapsed="false">
      <c r="A64" s="7" t="s">
        <v>68</v>
      </c>
      <c r="B64" s="7" t="n">
        <v>2022</v>
      </c>
      <c r="C64" s="7" t="n">
        <v>3</v>
      </c>
      <c r="D64" s="7" t="s">
        <v>58</v>
      </c>
      <c r="E64" s="7" t="n">
        <v>27</v>
      </c>
      <c r="F64" s="7" t="n">
        <v>216109</v>
      </c>
      <c r="G64" s="7" t="n">
        <v>1388</v>
      </c>
      <c r="H64" s="7" t="n">
        <f aca="false">F64-G64</f>
        <v>214721</v>
      </c>
      <c r="I64" s="8" t="n">
        <f aca="false">G64/F64</f>
        <v>0.00642268484884942</v>
      </c>
    </row>
    <row r="65" customFormat="false" ht="15" hidden="false" customHeight="false" outlineLevel="0" collapsed="false">
      <c r="A65" s="7" t="s">
        <v>68</v>
      </c>
      <c r="B65" s="7" t="n">
        <v>2022</v>
      </c>
      <c r="C65" s="7" t="n">
        <v>4</v>
      </c>
      <c r="D65" s="7" t="s">
        <v>59</v>
      </c>
      <c r="E65" s="7" t="n">
        <v>28</v>
      </c>
      <c r="F65" s="7" t="n">
        <v>236095</v>
      </c>
      <c r="G65" s="7" t="n">
        <v>2256</v>
      </c>
      <c r="H65" s="7" t="n">
        <f aca="false">F65-G65</f>
        <v>233839</v>
      </c>
      <c r="I65" s="8" t="n">
        <f aca="false">G65/F65</f>
        <v>0.00955547555009636</v>
      </c>
    </row>
    <row r="66" customFormat="false" ht="15" hidden="false" customHeight="false" outlineLevel="0" collapsed="false">
      <c r="A66" s="7" t="s">
        <v>68</v>
      </c>
      <c r="B66" s="7" t="n">
        <v>2022</v>
      </c>
      <c r="C66" s="7" t="n">
        <v>5</v>
      </c>
      <c r="D66" s="7" t="s">
        <v>60</v>
      </c>
      <c r="E66" s="7" t="n">
        <v>29</v>
      </c>
      <c r="F66" s="7" t="n">
        <v>260284</v>
      </c>
      <c r="G66" s="7" t="n">
        <v>2223</v>
      </c>
      <c r="H66" s="7" t="n">
        <f aca="false">F66-G66</f>
        <v>258061</v>
      </c>
      <c r="I66" s="8" t="n">
        <f aca="false">G66/F66</f>
        <v>0.00854067095941356</v>
      </c>
    </row>
    <row r="67" customFormat="false" ht="15" hidden="false" customHeight="false" outlineLevel="0" collapsed="false">
      <c r="A67" s="7" t="s">
        <v>68</v>
      </c>
      <c r="B67" s="7" t="n">
        <v>2022</v>
      </c>
      <c r="C67" s="7" t="n">
        <v>6</v>
      </c>
      <c r="D67" s="7" t="s">
        <v>61</v>
      </c>
      <c r="E67" s="7" t="n">
        <v>30</v>
      </c>
      <c r="F67" s="7" t="n">
        <v>407763</v>
      </c>
      <c r="G67" s="7" t="n">
        <v>2307</v>
      </c>
      <c r="H67" s="7" t="n">
        <f aca="false">F67-G67</f>
        <v>405456</v>
      </c>
      <c r="I67" s="8" t="n">
        <f aca="false">G67/F67</f>
        <v>0.00565769822176117</v>
      </c>
    </row>
    <row r="68" customFormat="false" ht="15" hidden="false" customHeight="false" outlineLevel="0" collapsed="false">
      <c r="A68" s="7" t="s">
        <v>68</v>
      </c>
      <c r="B68" s="7" t="n">
        <v>2022</v>
      </c>
      <c r="C68" s="7" t="n">
        <v>7</v>
      </c>
      <c r="D68" s="7" t="s">
        <v>62</v>
      </c>
      <c r="E68" s="7" t="n">
        <v>31</v>
      </c>
      <c r="F68" s="7" t="n">
        <v>293216</v>
      </c>
      <c r="G68" s="7" t="n">
        <v>2968</v>
      </c>
      <c r="H68" s="7" t="n">
        <f aca="false">F68-G68</f>
        <v>290248</v>
      </c>
      <c r="I68" s="8" t="n">
        <f aca="false">G68/F68</f>
        <v>0.010122230710466</v>
      </c>
    </row>
    <row r="69" customFormat="false" ht="15" hidden="false" customHeight="false" outlineLevel="0" collapsed="false">
      <c r="A69" s="7" t="s">
        <v>68</v>
      </c>
      <c r="B69" s="7" t="n">
        <v>2022</v>
      </c>
      <c r="C69" s="7" t="n">
        <v>8</v>
      </c>
      <c r="D69" s="7" t="s">
        <v>63</v>
      </c>
      <c r="E69" s="7" t="n">
        <v>32</v>
      </c>
      <c r="F69" s="7" t="n">
        <v>310714</v>
      </c>
      <c r="G69" s="7" t="n">
        <v>2904</v>
      </c>
      <c r="H69" s="7" t="n">
        <f aca="false">F69-G69</f>
        <v>307810</v>
      </c>
      <c r="I69" s="8" t="n">
        <f aca="false">G69/F69</f>
        <v>0.00934621549077287</v>
      </c>
    </row>
    <row r="70" customFormat="false" ht="15" hidden="false" customHeight="false" outlineLevel="0" collapsed="false">
      <c r="A70" s="7" t="s">
        <v>68</v>
      </c>
      <c r="B70" s="7" t="n">
        <v>2022</v>
      </c>
      <c r="C70" s="7" t="n">
        <v>9</v>
      </c>
      <c r="D70" s="7" t="s">
        <v>64</v>
      </c>
      <c r="E70" s="7" t="n">
        <v>33</v>
      </c>
      <c r="F70" s="7" t="n">
        <v>318015</v>
      </c>
      <c r="G70" s="7" t="n">
        <v>1476</v>
      </c>
      <c r="H70" s="7" t="n">
        <f aca="false">F70-G70</f>
        <v>316539</v>
      </c>
      <c r="I70" s="8" t="n">
        <f aca="false">G70/F70</f>
        <v>0.00464129050516485</v>
      </c>
    </row>
    <row r="71" customFormat="false" ht="15" hidden="false" customHeight="false" outlineLevel="0" collapsed="false">
      <c r="A71" s="7" t="s">
        <v>68</v>
      </c>
      <c r="B71" s="7" t="n">
        <v>2022</v>
      </c>
      <c r="C71" s="7" t="n">
        <v>10</v>
      </c>
      <c r="D71" s="7" t="s">
        <v>65</v>
      </c>
      <c r="E71" s="7" t="n">
        <v>34</v>
      </c>
      <c r="F71" s="7" t="n">
        <v>334673</v>
      </c>
      <c r="G71" s="7" t="n">
        <v>2330</v>
      </c>
      <c r="H71" s="7" t="n">
        <f aca="false">F71-G71</f>
        <v>332343</v>
      </c>
      <c r="I71" s="8" t="n">
        <f aca="false">G71/F71</f>
        <v>0.00696201964305456</v>
      </c>
    </row>
    <row r="72" customFormat="false" ht="15" hidden="false" customHeight="false" outlineLevel="0" collapsed="false">
      <c r="A72" s="7" t="s">
        <v>68</v>
      </c>
      <c r="B72" s="7" t="n">
        <v>2022</v>
      </c>
      <c r="C72" s="7" t="n">
        <v>11</v>
      </c>
      <c r="D72" s="7" t="s">
        <v>66</v>
      </c>
      <c r="E72" s="7" t="n">
        <v>35</v>
      </c>
      <c r="F72" s="7" t="n">
        <v>348898</v>
      </c>
      <c r="G72" s="7" t="n">
        <v>810</v>
      </c>
      <c r="H72" s="7" t="n">
        <f aca="false">F72-G72</f>
        <v>348088</v>
      </c>
      <c r="I72" s="8" t="n">
        <f aca="false">G72/F72</f>
        <v>0.00232159542330423</v>
      </c>
    </row>
    <row r="73" customFormat="false" ht="15" hidden="false" customHeight="false" outlineLevel="0" collapsed="false">
      <c r="A73" s="7" t="s">
        <v>68</v>
      </c>
      <c r="B73" s="7" t="n">
        <v>2022</v>
      </c>
      <c r="C73" s="7" t="n">
        <v>12</v>
      </c>
      <c r="D73" s="7" t="s">
        <v>67</v>
      </c>
      <c r="E73" s="7" t="n">
        <v>36</v>
      </c>
      <c r="F73" s="7" t="n">
        <v>545134</v>
      </c>
      <c r="G73" s="7" t="n">
        <v>1751</v>
      </c>
      <c r="H73" s="7" t="n">
        <f aca="false">F73-G73</f>
        <v>543383</v>
      </c>
      <c r="I73" s="8" t="n">
        <f aca="false">G73/F73</f>
        <v>0.00321205428390084</v>
      </c>
    </row>
    <row r="74" customFormat="false" ht="15" hidden="false" customHeight="false" outlineLevel="0" collapsed="false">
      <c r="A74" s="7" t="s">
        <v>69</v>
      </c>
      <c r="B74" s="7" t="n">
        <v>2020</v>
      </c>
      <c r="C74" s="7" t="n">
        <v>1</v>
      </c>
      <c r="D74" s="7" t="s">
        <v>32</v>
      </c>
      <c r="E74" s="7" t="n">
        <v>1</v>
      </c>
      <c r="F74" s="7" t="n">
        <v>528166</v>
      </c>
      <c r="G74" s="7" t="n">
        <v>7941</v>
      </c>
      <c r="H74" s="7" t="n">
        <f aca="false">F74-G74</f>
        <v>520225</v>
      </c>
      <c r="I74" s="8" t="n">
        <f aca="false">G74/F74</f>
        <v>0.0150350457999947</v>
      </c>
    </row>
    <row r="75" customFormat="false" ht="15" hidden="false" customHeight="false" outlineLevel="0" collapsed="false">
      <c r="A75" s="7" t="s">
        <v>69</v>
      </c>
      <c r="B75" s="7" t="n">
        <v>2020</v>
      </c>
      <c r="C75" s="7" t="n">
        <v>2</v>
      </c>
      <c r="D75" s="7" t="s">
        <v>33</v>
      </c>
      <c r="E75" s="7" t="n">
        <v>2</v>
      </c>
      <c r="F75" s="7" t="n">
        <v>612054</v>
      </c>
      <c r="G75" s="7" t="n">
        <v>3853</v>
      </c>
      <c r="H75" s="7" t="n">
        <f aca="false">F75-G75</f>
        <v>608201</v>
      </c>
      <c r="I75" s="8" t="n">
        <f aca="false">G75/F75</f>
        <v>0.00629519617550086</v>
      </c>
    </row>
    <row r="76" customFormat="false" ht="15" hidden="false" customHeight="false" outlineLevel="0" collapsed="false">
      <c r="A76" s="7" t="s">
        <v>69</v>
      </c>
      <c r="B76" s="7" t="n">
        <v>2020</v>
      </c>
      <c r="C76" s="7" t="n">
        <v>3</v>
      </c>
      <c r="D76" s="7" t="s">
        <v>34</v>
      </c>
      <c r="E76" s="7" t="n">
        <v>3</v>
      </c>
      <c r="F76" s="7" t="n">
        <v>814016</v>
      </c>
      <c r="G76" s="7" t="n">
        <v>4964</v>
      </c>
      <c r="H76" s="7" t="n">
        <f aca="false">F76-G76</f>
        <v>809052</v>
      </c>
      <c r="I76" s="8" t="n">
        <f aca="false">G76/F76</f>
        <v>0.0060981602327227</v>
      </c>
    </row>
    <row r="77" customFormat="false" ht="15" hidden="false" customHeight="false" outlineLevel="0" collapsed="false">
      <c r="A77" s="7" t="s">
        <v>69</v>
      </c>
      <c r="B77" s="7" t="n">
        <v>2020</v>
      </c>
      <c r="C77" s="7" t="n">
        <v>4</v>
      </c>
      <c r="D77" s="7" t="s">
        <v>35</v>
      </c>
      <c r="E77" s="7" t="n">
        <v>4</v>
      </c>
      <c r="F77" s="7" t="n">
        <v>705349</v>
      </c>
      <c r="G77" s="7" t="n">
        <v>4188</v>
      </c>
      <c r="H77" s="7" t="n">
        <f aca="false">F77-G77</f>
        <v>701161</v>
      </c>
      <c r="I77" s="8" t="n">
        <f aca="false">G77/F77</f>
        <v>0.00593748626566423</v>
      </c>
    </row>
    <row r="78" customFormat="false" ht="15" hidden="false" customHeight="false" outlineLevel="0" collapsed="false">
      <c r="A78" s="7" t="s">
        <v>69</v>
      </c>
      <c r="B78" s="7" t="n">
        <v>2020</v>
      </c>
      <c r="C78" s="7" t="n">
        <v>5</v>
      </c>
      <c r="D78" s="7" t="s">
        <v>36</v>
      </c>
      <c r="E78" s="7" t="n">
        <v>5</v>
      </c>
      <c r="F78" s="7" t="n">
        <v>763211</v>
      </c>
      <c r="G78" s="7" t="n">
        <v>5215</v>
      </c>
      <c r="H78" s="7" t="n">
        <f aca="false">F78-G78</f>
        <v>757996</v>
      </c>
      <c r="I78" s="8" t="n">
        <f aca="false">G78/F78</f>
        <v>0.00683297279520342</v>
      </c>
    </row>
    <row r="79" customFormat="false" ht="15" hidden="false" customHeight="false" outlineLevel="0" collapsed="false">
      <c r="A79" s="7" t="s">
        <v>69</v>
      </c>
      <c r="B79" s="7" t="n">
        <v>2020</v>
      </c>
      <c r="C79" s="7" t="n">
        <v>6</v>
      </c>
      <c r="D79" s="7" t="s">
        <v>37</v>
      </c>
      <c r="E79" s="7" t="n">
        <v>6</v>
      </c>
      <c r="F79" s="7" t="n">
        <v>1024206</v>
      </c>
      <c r="G79" s="7" t="n">
        <v>5870</v>
      </c>
      <c r="H79" s="7" t="n">
        <f aca="false">F79-G79</f>
        <v>1018336</v>
      </c>
      <c r="I79" s="8" t="n">
        <f aca="false">G79/F79</f>
        <v>0.00573126890488828</v>
      </c>
    </row>
    <row r="80" customFormat="false" ht="15" hidden="false" customHeight="false" outlineLevel="0" collapsed="false">
      <c r="A80" s="7" t="s">
        <v>69</v>
      </c>
      <c r="B80" s="7" t="n">
        <v>2020</v>
      </c>
      <c r="C80" s="7" t="n">
        <v>7</v>
      </c>
      <c r="D80" s="7" t="s">
        <v>38</v>
      </c>
      <c r="E80" s="7" t="n">
        <v>7</v>
      </c>
      <c r="F80" s="7" t="n">
        <v>885858</v>
      </c>
      <c r="G80" s="7" t="n">
        <v>7542</v>
      </c>
      <c r="H80" s="7" t="n">
        <f aca="false">F80-G80</f>
        <v>878316</v>
      </c>
      <c r="I80" s="8" t="n">
        <f aca="false">G80/F80</f>
        <v>0.00851377986088064</v>
      </c>
    </row>
    <row r="81" customFormat="false" ht="15" hidden="false" customHeight="false" outlineLevel="0" collapsed="false">
      <c r="A81" s="7" t="s">
        <v>69</v>
      </c>
      <c r="B81" s="7" t="n">
        <v>2020</v>
      </c>
      <c r="C81" s="7" t="n">
        <v>8</v>
      </c>
      <c r="D81" s="7" t="s">
        <v>39</v>
      </c>
      <c r="E81" s="7" t="n">
        <v>8</v>
      </c>
      <c r="F81" s="7" t="n">
        <v>911106</v>
      </c>
      <c r="G81" s="7" t="n">
        <v>4535</v>
      </c>
      <c r="H81" s="7" t="n">
        <f aca="false">F81-G81</f>
        <v>906571</v>
      </c>
      <c r="I81" s="8" t="n">
        <f aca="false">G81/F81</f>
        <v>0.0049774669467658</v>
      </c>
    </row>
    <row r="82" customFormat="false" ht="15" hidden="false" customHeight="false" outlineLevel="0" collapsed="false">
      <c r="A82" s="7" t="s">
        <v>69</v>
      </c>
      <c r="B82" s="7" t="n">
        <v>2020</v>
      </c>
      <c r="C82" s="7" t="n">
        <v>9</v>
      </c>
      <c r="D82" s="7" t="s">
        <v>40</v>
      </c>
      <c r="E82" s="7" t="n">
        <v>9</v>
      </c>
      <c r="F82" s="7" t="n">
        <v>1188976</v>
      </c>
      <c r="G82" s="7" t="n">
        <v>9149</v>
      </c>
      <c r="H82" s="7" t="n">
        <f aca="false">F82-G82</f>
        <v>1179827</v>
      </c>
      <c r="I82" s="8" t="n">
        <f aca="false">G82/F82</f>
        <v>0.00769485675068294</v>
      </c>
    </row>
    <row r="83" customFormat="false" ht="15" hidden="false" customHeight="false" outlineLevel="0" collapsed="false">
      <c r="A83" s="7" t="s">
        <v>69</v>
      </c>
      <c r="B83" s="7" t="n">
        <v>2020</v>
      </c>
      <c r="C83" s="7" t="n">
        <v>10</v>
      </c>
      <c r="D83" s="7" t="s">
        <v>41</v>
      </c>
      <c r="E83" s="7" t="n">
        <v>10</v>
      </c>
      <c r="F83" s="7" t="n">
        <v>985516</v>
      </c>
      <c r="G83" s="7" t="n">
        <v>4917</v>
      </c>
      <c r="H83" s="7" t="n">
        <f aca="false">F83-G83</f>
        <v>980599</v>
      </c>
      <c r="I83" s="8" t="n">
        <f aca="false">G83/F83</f>
        <v>0.00498926450712114</v>
      </c>
    </row>
    <row r="84" customFormat="false" ht="15" hidden="false" customHeight="false" outlineLevel="0" collapsed="false">
      <c r="A84" s="7" t="s">
        <v>69</v>
      </c>
      <c r="B84" s="7" t="n">
        <v>2020</v>
      </c>
      <c r="C84" s="7" t="n">
        <v>11</v>
      </c>
      <c r="D84" s="7" t="s">
        <v>42</v>
      </c>
      <c r="E84" s="7" t="n">
        <v>11</v>
      </c>
      <c r="F84" s="7" t="n">
        <v>1025684</v>
      </c>
      <c r="G84" s="7" t="n">
        <v>4998</v>
      </c>
      <c r="H84" s="7" t="n">
        <f aca="false">F84-G84</f>
        <v>1020686</v>
      </c>
      <c r="I84" s="8" t="n">
        <f aca="false">G84/F84</f>
        <v>0.00487284582775982</v>
      </c>
    </row>
    <row r="85" customFormat="false" ht="15" hidden="false" customHeight="false" outlineLevel="0" collapsed="false">
      <c r="A85" s="7" t="s">
        <v>69</v>
      </c>
      <c r="B85" s="7" t="n">
        <v>2020</v>
      </c>
      <c r="C85" s="7" t="n">
        <v>12</v>
      </c>
      <c r="D85" s="7" t="s">
        <v>43</v>
      </c>
      <c r="E85" s="7" t="n">
        <v>12</v>
      </c>
      <c r="F85" s="7" t="n">
        <v>1319690</v>
      </c>
      <c r="G85" s="7" t="n">
        <v>8437</v>
      </c>
      <c r="H85" s="7" t="n">
        <f aca="false">F85-G85</f>
        <v>1311253</v>
      </c>
      <c r="I85" s="8" t="n">
        <f aca="false">G85/F85</f>
        <v>0.00639316809250657</v>
      </c>
    </row>
    <row r="86" customFormat="false" ht="15" hidden="false" customHeight="false" outlineLevel="0" collapsed="false">
      <c r="A86" s="7" t="s">
        <v>69</v>
      </c>
      <c r="B86" s="7" t="n">
        <v>2021</v>
      </c>
      <c r="C86" s="7" t="n">
        <v>1</v>
      </c>
      <c r="D86" s="7" t="s">
        <v>44</v>
      </c>
      <c r="E86" s="7" t="n">
        <v>13</v>
      </c>
      <c r="F86" s="7" t="n">
        <v>219161</v>
      </c>
      <c r="G86" s="7" t="n">
        <v>2492</v>
      </c>
      <c r="H86" s="7" t="n">
        <f aca="false">F86-G86</f>
        <v>216669</v>
      </c>
      <c r="I86" s="8" t="n">
        <f aca="false">G86/F86</f>
        <v>0.0113706361989588</v>
      </c>
    </row>
    <row r="87" customFormat="false" ht="15" hidden="false" customHeight="false" outlineLevel="0" collapsed="false">
      <c r="A87" s="7" t="s">
        <v>69</v>
      </c>
      <c r="B87" s="7" t="n">
        <v>2021</v>
      </c>
      <c r="C87" s="7" t="n">
        <v>2</v>
      </c>
      <c r="D87" s="7" t="s">
        <v>45</v>
      </c>
      <c r="E87" s="7" t="n">
        <v>14</v>
      </c>
      <c r="F87" s="7" t="n">
        <v>261639</v>
      </c>
      <c r="G87" s="7" t="n">
        <v>5618</v>
      </c>
      <c r="H87" s="7" t="n">
        <f aca="false">F87-G87</f>
        <v>256021</v>
      </c>
      <c r="I87" s="8" t="n">
        <f aca="false">G87/F87</f>
        <v>0.0214723340174821</v>
      </c>
    </row>
    <row r="88" customFormat="false" ht="15" hidden="false" customHeight="false" outlineLevel="0" collapsed="false">
      <c r="A88" s="7" t="s">
        <v>69</v>
      </c>
      <c r="B88" s="7" t="n">
        <v>2021</v>
      </c>
      <c r="C88" s="7" t="n">
        <v>3</v>
      </c>
      <c r="D88" s="7" t="s">
        <v>46</v>
      </c>
      <c r="E88" s="7" t="n">
        <v>15</v>
      </c>
      <c r="F88" s="7" t="n">
        <v>375358</v>
      </c>
      <c r="G88" s="7" t="n">
        <v>5012</v>
      </c>
      <c r="H88" s="7" t="n">
        <f aca="false">F88-G88</f>
        <v>370346</v>
      </c>
      <c r="I88" s="8" t="n">
        <f aca="false">G88/F88</f>
        <v>0.0133525860645038</v>
      </c>
    </row>
    <row r="89" customFormat="false" ht="15" hidden="false" customHeight="false" outlineLevel="0" collapsed="false">
      <c r="A89" s="7" t="s">
        <v>69</v>
      </c>
      <c r="B89" s="7" t="n">
        <v>2021</v>
      </c>
      <c r="C89" s="7" t="n">
        <v>4</v>
      </c>
      <c r="D89" s="7" t="s">
        <v>47</v>
      </c>
      <c r="E89" s="7" t="n">
        <v>16</v>
      </c>
      <c r="F89" s="7" t="n">
        <v>314853</v>
      </c>
      <c r="G89" s="7" t="n">
        <v>3549</v>
      </c>
      <c r="H89" s="7" t="n">
        <f aca="false">F89-G89</f>
        <v>311304</v>
      </c>
      <c r="I89" s="8" t="n">
        <f aca="false">G89/F89</f>
        <v>0.0112719268992196</v>
      </c>
    </row>
    <row r="90" customFormat="false" ht="15" hidden="false" customHeight="false" outlineLevel="0" collapsed="false">
      <c r="A90" s="7" t="s">
        <v>69</v>
      </c>
      <c r="B90" s="7" t="n">
        <v>2021</v>
      </c>
      <c r="C90" s="7" t="n">
        <v>5</v>
      </c>
      <c r="D90" s="7" t="s">
        <v>48</v>
      </c>
      <c r="E90" s="7" t="n">
        <v>17</v>
      </c>
      <c r="F90" s="7" t="n">
        <v>337120</v>
      </c>
      <c r="G90" s="7" t="n">
        <v>3619</v>
      </c>
      <c r="H90" s="7" t="n">
        <f aca="false">F90-G90</f>
        <v>333501</v>
      </c>
      <c r="I90" s="8" t="n">
        <f aca="false">G90/F90</f>
        <v>0.010735049833887</v>
      </c>
    </row>
    <row r="91" customFormat="false" ht="15" hidden="false" customHeight="false" outlineLevel="0" collapsed="false">
      <c r="A91" s="7" t="s">
        <v>69</v>
      </c>
      <c r="B91" s="7" t="n">
        <v>2021</v>
      </c>
      <c r="C91" s="7" t="n">
        <v>6</v>
      </c>
      <c r="D91" s="7" t="s">
        <v>49</v>
      </c>
      <c r="E91" s="7" t="n">
        <v>18</v>
      </c>
      <c r="F91" s="7" t="n">
        <v>469918</v>
      </c>
      <c r="G91" s="7" t="n">
        <v>4546</v>
      </c>
      <c r="H91" s="7" t="n">
        <f aca="false">F91-G91</f>
        <v>465372</v>
      </c>
      <c r="I91" s="8" t="n">
        <f aca="false">G91/F91</f>
        <v>0.00967402823471329</v>
      </c>
    </row>
    <row r="92" customFormat="false" ht="15" hidden="false" customHeight="false" outlineLevel="0" collapsed="false">
      <c r="A92" s="7" t="s">
        <v>69</v>
      </c>
      <c r="B92" s="7" t="n">
        <v>2021</v>
      </c>
      <c r="C92" s="7" t="n">
        <v>7</v>
      </c>
      <c r="D92" s="7" t="s">
        <v>50</v>
      </c>
      <c r="E92" s="7" t="n">
        <v>19</v>
      </c>
      <c r="F92" s="7" t="n">
        <v>426032</v>
      </c>
      <c r="G92" s="7" t="n">
        <v>3907</v>
      </c>
      <c r="H92" s="7" t="n">
        <f aca="false">F92-G92</f>
        <v>422125</v>
      </c>
      <c r="I92" s="8" t="n">
        <f aca="false">G92/F92</f>
        <v>0.00917067262553048</v>
      </c>
    </row>
    <row r="93" customFormat="false" ht="15" hidden="false" customHeight="false" outlineLevel="0" collapsed="false">
      <c r="A93" s="7" t="s">
        <v>69</v>
      </c>
      <c r="B93" s="7" t="n">
        <v>2021</v>
      </c>
      <c r="C93" s="7" t="n">
        <v>8</v>
      </c>
      <c r="D93" s="7" t="s">
        <v>51</v>
      </c>
      <c r="E93" s="7" t="n">
        <v>20</v>
      </c>
      <c r="F93" s="7" t="n">
        <v>467240</v>
      </c>
      <c r="G93" s="7" t="n">
        <v>2610</v>
      </c>
      <c r="H93" s="7" t="n">
        <f aca="false">F93-G93</f>
        <v>464630</v>
      </c>
      <c r="I93" s="8" t="n">
        <f aca="false">G93/F93</f>
        <v>0.00558599434979882</v>
      </c>
    </row>
    <row r="94" customFormat="false" ht="15" hidden="false" customHeight="false" outlineLevel="0" collapsed="false">
      <c r="A94" s="7" t="s">
        <v>69</v>
      </c>
      <c r="B94" s="7" t="n">
        <v>2021</v>
      </c>
      <c r="C94" s="7" t="n">
        <v>9</v>
      </c>
      <c r="D94" s="7" t="s">
        <v>52</v>
      </c>
      <c r="E94" s="7" t="n">
        <v>21</v>
      </c>
      <c r="F94" s="7" t="n">
        <v>622957</v>
      </c>
      <c r="G94" s="7" t="n">
        <v>7683</v>
      </c>
      <c r="H94" s="7" t="n">
        <f aca="false">F94-G94</f>
        <v>615274</v>
      </c>
      <c r="I94" s="8" t="n">
        <f aca="false">G94/F94</f>
        <v>0.0123331144846274</v>
      </c>
    </row>
    <row r="95" customFormat="false" ht="15" hidden="false" customHeight="false" outlineLevel="0" collapsed="false">
      <c r="A95" s="7" t="s">
        <v>69</v>
      </c>
      <c r="B95" s="7" t="n">
        <v>2021</v>
      </c>
      <c r="C95" s="7" t="n">
        <v>10</v>
      </c>
      <c r="D95" s="7" t="s">
        <v>53</v>
      </c>
      <c r="E95" s="7" t="n">
        <v>22</v>
      </c>
      <c r="F95" s="7" t="n">
        <v>531440</v>
      </c>
      <c r="G95" s="7" t="n">
        <v>5058</v>
      </c>
      <c r="H95" s="7" t="n">
        <f aca="false">F95-G95</f>
        <v>526382</v>
      </c>
      <c r="I95" s="8" t="n">
        <f aca="false">G95/F95</f>
        <v>0.00951753725726329</v>
      </c>
    </row>
    <row r="96" customFormat="false" ht="15" hidden="false" customHeight="false" outlineLevel="0" collapsed="false">
      <c r="A96" s="7" t="s">
        <v>69</v>
      </c>
      <c r="B96" s="7" t="n">
        <v>2021</v>
      </c>
      <c r="C96" s="7" t="n">
        <v>11</v>
      </c>
      <c r="D96" s="7" t="s">
        <v>54</v>
      </c>
      <c r="E96" s="7" t="n">
        <v>23</v>
      </c>
      <c r="F96" s="7" t="n">
        <v>559492</v>
      </c>
      <c r="G96" s="7" t="n">
        <v>2046</v>
      </c>
      <c r="H96" s="7" t="n">
        <f aca="false">F96-G96</f>
        <v>557446</v>
      </c>
      <c r="I96" s="8" t="n">
        <f aca="false">G96/F96</f>
        <v>0.00365688874907952</v>
      </c>
    </row>
    <row r="97" customFormat="false" ht="15" hidden="false" customHeight="false" outlineLevel="0" collapsed="false">
      <c r="A97" s="7" t="s">
        <v>69</v>
      </c>
      <c r="B97" s="7" t="n">
        <v>2021</v>
      </c>
      <c r="C97" s="7" t="n">
        <v>12</v>
      </c>
      <c r="D97" s="7" t="s">
        <v>55</v>
      </c>
      <c r="E97" s="7" t="n">
        <v>24</v>
      </c>
      <c r="F97" s="7" t="n">
        <v>747564</v>
      </c>
      <c r="G97" s="7" t="n">
        <v>5450</v>
      </c>
      <c r="H97" s="7" t="n">
        <f aca="false">F97-G97</f>
        <v>742114</v>
      </c>
      <c r="I97" s="8" t="n">
        <f aca="false">G97/F97</f>
        <v>0.00729034570953122</v>
      </c>
    </row>
    <row r="98" customFormat="false" ht="15" hidden="false" customHeight="false" outlineLevel="0" collapsed="false">
      <c r="A98" s="7" t="s">
        <v>69</v>
      </c>
      <c r="B98" s="7" t="n">
        <v>2022</v>
      </c>
      <c r="C98" s="7" t="n">
        <v>1</v>
      </c>
      <c r="D98" s="7" t="s">
        <v>56</v>
      </c>
      <c r="E98" s="7" t="n">
        <v>25</v>
      </c>
      <c r="F98" s="7" t="n">
        <v>697655</v>
      </c>
      <c r="G98" s="7" t="n">
        <v>3858</v>
      </c>
      <c r="H98" s="7" t="n">
        <f aca="false">F98-G98</f>
        <v>693797</v>
      </c>
      <c r="I98" s="8" t="n">
        <f aca="false">G98/F98</f>
        <v>0.00552995391705069</v>
      </c>
    </row>
    <row r="99" customFormat="false" ht="15" hidden="false" customHeight="false" outlineLevel="0" collapsed="false">
      <c r="A99" s="7" t="s">
        <v>69</v>
      </c>
      <c r="B99" s="7" t="n">
        <v>2022</v>
      </c>
      <c r="C99" s="7" t="n">
        <v>2</v>
      </c>
      <c r="D99" s="7" t="s">
        <v>57</v>
      </c>
      <c r="E99" s="7" t="n">
        <v>26</v>
      </c>
      <c r="F99" s="7" t="n">
        <v>841297</v>
      </c>
      <c r="G99" s="7" t="n">
        <v>4802</v>
      </c>
      <c r="H99" s="7" t="n">
        <f aca="false">F99-G99</f>
        <v>836495</v>
      </c>
      <c r="I99" s="8" t="n">
        <f aca="false">G99/F99</f>
        <v>0.00570785346910782</v>
      </c>
    </row>
    <row r="100" customFormat="false" ht="15" hidden="false" customHeight="false" outlineLevel="0" collapsed="false">
      <c r="A100" s="7" t="s">
        <v>69</v>
      </c>
      <c r="B100" s="7" t="n">
        <v>2022</v>
      </c>
      <c r="C100" s="7" t="n">
        <v>3</v>
      </c>
      <c r="D100" s="7" t="s">
        <v>58</v>
      </c>
      <c r="E100" s="7" t="n">
        <v>27</v>
      </c>
      <c r="F100" s="7" t="n">
        <v>1167035</v>
      </c>
      <c r="G100" s="7" t="n">
        <v>6992</v>
      </c>
      <c r="H100" s="7" t="n">
        <f aca="false">F100-G100</f>
        <v>1160043</v>
      </c>
      <c r="I100" s="8" t="n">
        <f aca="false">G100/F100</f>
        <v>0.00599125133350756</v>
      </c>
    </row>
    <row r="101" customFormat="false" ht="15" hidden="false" customHeight="false" outlineLevel="0" collapsed="false">
      <c r="A101" s="7" t="s">
        <v>69</v>
      </c>
      <c r="B101" s="7" t="n">
        <v>2022</v>
      </c>
      <c r="C101" s="7" t="n">
        <v>4</v>
      </c>
      <c r="D101" s="7" t="s">
        <v>59</v>
      </c>
      <c r="E101" s="7" t="n">
        <v>28</v>
      </c>
      <c r="F101" s="7" t="n">
        <v>1007215</v>
      </c>
      <c r="G101" s="7" t="n">
        <v>2957</v>
      </c>
      <c r="H101" s="7" t="n">
        <f aca="false">F101-G101</f>
        <v>1004258</v>
      </c>
      <c r="I101" s="8" t="n">
        <f aca="false">G101/F101</f>
        <v>0.00293581807260615</v>
      </c>
    </row>
    <row r="102" customFormat="false" ht="15" hidden="false" customHeight="false" outlineLevel="0" collapsed="false">
      <c r="A102" s="7" t="s">
        <v>69</v>
      </c>
      <c r="B102" s="7" t="n">
        <v>2022</v>
      </c>
      <c r="C102" s="7" t="n">
        <v>5</v>
      </c>
      <c r="D102" s="7" t="s">
        <v>60</v>
      </c>
      <c r="E102" s="7" t="n">
        <v>29</v>
      </c>
      <c r="F102" s="7" t="n">
        <v>1075280</v>
      </c>
      <c r="G102" s="7" t="n">
        <v>8802</v>
      </c>
      <c r="H102" s="7" t="n">
        <f aca="false">F102-G102</f>
        <v>1066478</v>
      </c>
      <c r="I102" s="8" t="n">
        <f aca="false">G102/F102</f>
        <v>0.00818577486794137</v>
      </c>
    </row>
    <row r="103" customFormat="false" ht="15" hidden="false" customHeight="false" outlineLevel="0" collapsed="false">
      <c r="A103" s="7" t="s">
        <v>69</v>
      </c>
      <c r="B103" s="7" t="n">
        <v>2022</v>
      </c>
      <c r="C103" s="7" t="n">
        <v>6</v>
      </c>
      <c r="D103" s="7" t="s">
        <v>61</v>
      </c>
      <c r="E103" s="7" t="n">
        <v>30</v>
      </c>
      <c r="F103" s="7" t="n">
        <v>1449784</v>
      </c>
      <c r="G103" s="7" t="n">
        <v>3947</v>
      </c>
      <c r="H103" s="7" t="n">
        <f aca="false">F103-G103</f>
        <v>1445837</v>
      </c>
      <c r="I103" s="8" t="n">
        <f aca="false">G103/F103</f>
        <v>0.00272247452034234</v>
      </c>
    </row>
    <row r="104" customFormat="false" ht="15" hidden="false" customHeight="false" outlineLevel="0" collapsed="false">
      <c r="A104" s="7" t="s">
        <v>69</v>
      </c>
      <c r="B104" s="7" t="n">
        <v>2022</v>
      </c>
      <c r="C104" s="7" t="n">
        <v>7</v>
      </c>
      <c r="D104" s="7" t="s">
        <v>62</v>
      </c>
      <c r="E104" s="7" t="n">
        <v>31</v>
      </c>
      <c r="F104" s="7" t="n">
        <v>1273309</v>
      </c>
      <c r="G104" s="7" t="n">
        <v>2575</v>
      </c>
      <c r="H104" s="7" t="n">
        <f aca="false">F104-G104</f>
        <v>1270734</v>
      </c>
      <c r="I104" s="8" t="n">
        <f aca="false">G104/F104</f>
        <v>0.00202228995475568</v>
      </c>
    </row>
    <row r="105" customFormat="false" ht="15" hidden="false" customHeight="false" outlineLevel="0" collapsed="false">
      <c r="A105" s="7" t="s">
        <v>69</v>
      </c>
      <c r="B105" s="7" t="n">
        <v>2022</v>
      </c>
      <c r="C105" s="7" t="n">
        <v>8</v>
      </c>
      <c r="D105" s="7" t="s">
        <v>63</v>
      </c>
      <c r="E105" s="7" t="n">
        <v>32</v>
      </c>
      <c r="F105" s="7" t="n">
        <v>1333607</v>
      </c>
      <c r="G105" s="7" t="n">
        <v>1732</v>
      </c>
      <c r="H105" s="7" t="n">
        <f aca="false">F105-G105</f>
        <v>1331875</v>
      </c>
      <c r="I105" s="8" t="n">
        <f aca="false">G105/F105</f>
        <v>0.00129873343496247</v>
      </c>
    </row>
    <row r="106" customFormat="false" ht="15" hidden="false" customHeight="false" outlineLevel="0" collapsed="false">
      <c r="A106" s="7" t="s">
        <v>69</v>
      </c>
      <c r="B106" s="7" t="n">
        <v>2022</v>
      </c>
      <c r="C106" s="7" t="n">
        <v>9</v>
      </c>
      <c r="D106" s="7" t="s">
        <v>64</v>
      </c>
      <c r="E106" s="7" t="n">
        <v>33</v>
      </c>
      <c r="F106" s="7" t="n">
        <v>1731999</v>
      </c>
      <c r="G106" s="7" t="n">
        <v>8236</v>
      </c>
      <c r="H106" s="7" t="n">
        <f aca="false">F106-G106</f>
        <v>1723763</v>
      </c>
      <c r="I106" s="8" t="n">
        <f aca="false">G106/F106</f>
        <v>0.00475519905034587</v>
      </c>
    </row>
    <row r="107" customFormat="false" ht="15" hidden="false" customHeight="false" outlineLevel="0" collapsed="false">
      <c r="A107" s="7" t="s">
        <v>69</v>
      </c>
      <c r="B107" s="7" t="n">
        <v>2022</v>
      </c>
      <c r="C107" s="7" t="n">
        <v>10</v>
      </c>
      <c r="D107" s="7" t="s">
        <v>65</v>
      </c>
      <c r="E107" s="7" t="n">
        <v>34</v>
      </c>
      <c r="F107" s="7" t="n">
        <v>1444653</v>
      </c>
      <c r="G107" s="7" t="n">
        <v>8818</v>
      </c>
      <c r="H107" s="7" t="n">
        <f aca="false">F107-G107</f>
        <v>1435835</v>
      </c>
      <c r="I107" s="8" t="n">
        <f aca="false">G107/F107</f>
        <v>0.00610388792325908</v>
      </c>
    </row>
    <row r="108" customFormat="false" ht="15" hidden="false" customHeight="false" outlineLevel="0" collapsed="false">
      <c r="A108" s="7" t="s">
        <v>69</v>
      </c>
      <c r="B108" s="7" t="n">
        <v>2022</v>
      </c>
      <c r="C108" s="7" t="n">
        <v>11</v>
      </c>
      <c r="D108" s="7" t="s">
        <v>66</v>
      </c>
      <c r="E108" s="7" t="n">
        <v>35</v>
      </c>
      <c r="F108" s="7" t="n">
        <v>1488893</v>
      </c>
      <c r="G108" s="7" t="n">
        <v>1648</v>
      </c>
      <c r="H108" s="7" t="n">
        <f aca="false">F108-G108</f>
        <v>1487245</v>
      </c>
      <c r="I108" s="8" t="n">
        <f aca="false">G108/F108</f>
        <v>0.00110686261537935</v>
      </c>
    </row>
    <row r="109" customFormat="false" ht="15" hidden="false" customHeight="false" outlineLevel="0" collapsed="false">
      <c r="A109" s="7" t="s">
        <v>69</v>
      </c>
      <c r="B109" s="7" t="n">
        <v>2022</v>
      </c>
      <c r="C109" s="7" t="n">
        <v>12</v>
      </c>
      <c r="D109" s="7" t="s">
        <v>67</v>
      </c>
      <c r="E109" s="7" t="n">
        <v>36</v>
      </c>
      <c r="F109" s="7" t="n">
        <v>1855391</v>
      </c>
      <c r="G109" s="7" t="n">
        <v>4979</v>
      </c>
      <c r="H109" s="7" t="n">
        <f aca="false">F109-G109</f>
        <v>1850412</v>
      </c>
      <c r="I109" s="8" t="n">
        <f aca="false">G109/F109</f>
        <v>0.00268353139580822</v>
      </c>
    </row>
    <row r="110" customFormat="false" ht="15" hidden="false" customHeight="false" outlineLevel="0" collapsed="false">
      <c r="A110" s="7" t="s">
        <v>70</v>
      </c>
      <c r="B110" s="7" t="n">
        <v>2020</v>
      </c>
      <c r="C110" s="7" t="n">
        <v>1</v>
      </c>
      <c r="D110" s="7" t="s">
        <v>32</v>
      </c>
      <c r="E110" s="7" t="n">
        <v>1</v>
      </c>
      <c r="F110" s="7" t="n">
        <v>541327</v>
      </c>
      <c r="G110" s="7" t="n">
        <v>5004</v>
      </c>
      <c r="H110" s="7" t="n">
        <f aca="false">F110-G110</f>
        <v>536323</v>
      </c>
      <c r="I110" s="8" t="n">
        <f aca="false">G110/F110</f>
        <v>0.00924395051419937</v>
      </c>
    </row>
    <row r="111" customFormat="false" ht="15" hidden="false" customHeight="false" outlineLevel="0" collapsed="false">
      <c r="A111" s="7" t="s">
        <v>70</v>
      </c>
      <c r="B111" s="7" t="n">
        <v>2020</v>
      </c>
      <c r="C111" s="7" t="n">
        <v>2</v>
      </c>
      <c r="D111" s="7" t="s">
        <v>33</v>
      </c>
      <c r="E111" s="7" t="n">
        <v>2</v>
      </c>
      <c r="F111" s="7" t="n">
        <v>543521</v>
      </c>
      <c r="G111" s="7" t="n">
        <v>299</v>
      </c>
      <c r="H111" s="7" t="n">
        <f aca="false">F111-G111</f>
        <v>543222</v>
      </c>
      <c r="I111" s="8" t="n">
        <f aca="false">G111/F111</f>
        <v>0.000550116738819659</v>
      </c>
    </row>
    <row r="112" customFormat="false" ht="15" hidden="false" customHeight="false" outlineLevel="0" collapsed="false">
      <c r="A112" s="7" t="s">
        <v>70</v>
      </c>
      <c r="B112" s="7" t="n">
        <v>2020</v>
      </c>
      <c r="C112" s="7" t="n">
        <v>3</v>
      </c>
      <c r="D112" s="7" t="s">
        <v>34</v>
      </c>
      <c r="E112" s="7" t="n">
        <v>3</v>
      </c>
      <c r="F112" s="7" t="n">
        <v>553236</v>
      </c>
      <c r="G112" s="7" t="n">
        <v>5632</v>
      </c>
      <c r="H112" s="7" t="n">
        <f aca="false">F112-G112</f>
        <v>547604</v>
      </c>
      <c r="I112" s="8" t="n">
        <f aca="false">G112/F112</f>
        <v>0.0101801039700959</v>
      </c>
    </row>
    <row r="113" customFormat="false" ht="15" hidden="false" customHeight="false" outlineLevel="0" collapsed="false">
      <c r="A113" s="7" t="s">
        <v>70</v>
      </c>
      <c r="B113" s="7" t="n">
        <v>2020</v>
      </c>
      <c r="C113" s="7" t="n">
        <v>4</v>
      </c>
      <c r="D113" s="7" t="s">
        <v>35</v>
      </c>
      <c r="E113" s="7" t="n">
        <v>4</v>
      </c>
      <c r="F113" s="7" t="n">
        <v>559221</v>
      </c>
      <c r="G113" s="7" t="n">
        <v>1025</v>
      </c>
      <c r="H113" s="7" t="n">
        <f aca="false">F113-G113</f>
        <v>558196</v>
      </c>
      <c r="I113" s="8" t="n">
        <f aca="false">G113/F113</f>
        <v>0.00183290684720352</v>
      </c>
    </row>
    <row r="114" customFormat="false" ht="15" hidden="false" customHeight="false" outlineLevel="0" collapsed="false">
      <c r="A114" s="7" t="s">
        <v>70</v>
      </c>
      <c r="B114" s="7" t="n">
        <v>2020</v>
      </c>
      <c r="C114" s="7" t="n">
        <v>5</v>
      </c>
      <c r="D114" s="7" t="s">
        <v>36</v>
      </c>
      <c r="E114" s="7" t="n">
        <v>5</v>
      </c>
      <c r="F114" s="7" t="n">
        <v>562852</v>
      </c>
      <c r="G114" s="7" t="n">
        <v>896</v>
      </c>
      <c r="H114" s="7" t="n">
        <f aca="false">F114-G114</f>
        <v>561956</v>
      </c>
      <c r="I114" s="8" t="n">
        <f aca="false">G114/F114</f>
        <v>0.00159189271780148</v>
      </c>
    </row>
    <row r="115" customFormat="false" ht="15" hidden="false" customHeight="false" outlineLevel="0" collapsed="false">
      <c r="A115" s="7" t="s">
        <v>70</v>
      </c>
      <c r="B115" s="7" t="n">
        <v>2020</v>
      </c>
      <c r="C115" s="7" t="n">
        <v>6</v>
      </c>
      <c r="D115" s="7" t="s">
        <v>37</v>
      </c>
      <c r="E115" s="7" t="n">
        <v>6</v>
      </c>
      <c r="F115" s="7" t="n">
        <v>564236</v>
      </c>
      <c r="G115" s="7" t="n">
        <v>3520</v>
      </c>
      <c r="H115" s="7" t="n">
        <f aca="false">F115-G115</f>
        <v>560716</v>
      </c>
      <c r="I115" s="8" t="n">
        <f aca="false">G115/F115</f>
        <v>0.00623852430543248</v>
      </c>
    </row>
    <row r="116" customFormat="false" ht="15" hidden="false" customHeight="false" outlineLevel="0" collapsed="false">
      <c r="A116" s="7" t="s">
        <v>70</v>
      </c>
      <c r="B116" s="7" t="n">
        <v>2020</v>
      </c>
      <c r="C116" s="7" t="n">
        <v>7</v>
      </c>
      <c r="D116" s="7" t="s">
        <v>38</v>
      </c>
      <c r="E116" s="7" t="n">
        <v>7</v>
      </c>
      <c r="F116" s="7" t="n">
        <v>568222</v>
      </c>
      <c r="G116" s="7" t="n">
        <v>2063</v>
      </c>
      <c r="H116" s="7" t="n">
        <f aca="false">F116-G116</f>
        <v>566159</v>
      </c>
      <c r="I116" s="8" t="n">
        <f aca="false">G116/F116</f>
        <v>0.0036306232423243</v>
      </c>
    </row>
    <row r="117" customFormat="false" ht="15" hidden="false" customHeight="false" outlineLevel="0" collapsed="false">
      <c r="A117" s="7" t="s">
        <v>70</v>
      </c>
      <c r="B117" s="7" t="n">
        <v>2020</v>
      </c>
      <c r="C117" s="7" t="n">
        <v>8</v>
      </c>
      <c r="D117" s="7" t="s">
        <v>39</v>
      </c>
      <c r="E117" s="7" t="n">
        <v>8</v>
      </c>
      <c r="F117" s="7" t="n">
        <v>571200</v>
      </c>
      <c r="G117" s="7" t="n">
        <v>854</v>
      </c>
      <c r="H117" s="7" t="n">
        <f aca="false">F117-G117</f>
        <v>570346</v>
      </c>
      <c r="I117" s="8" t="n">
        <f aca="false">G117/F117</f>
        <v>0.00149509803921569</v>
      </c>
    </row>
    <row r="118" customFormat="false" ht="15" hidden="false" customHeight="false" outlineLevel="0" collapsed="false">
      <c r="A118" s="7" t="s">
        <v>70</v>
      </c>
      <c r="B118" s="7" t="n">
        <v>2020</v>
      </c>
      <c r="C118" s="7" t="n">
        <v>9</v>
      </c>
      <c r="D118" s="7" t="s">
        <v>40</v>
      </c>
      <c r="E118" s="7" t="n">
        <v>9</v>
      </c>
      <c r="F118" s="7" t="n">
        <v>573632</v>
      </c>
      <c r="G118" s="7" t="n">
        <v>1002</v>
      </c>
      <c r="H118" s="7" t="n">
        <f aca="false">F118-G118</f>
        <v>572630</v>
      </c>
      <c r="I118" s="8" t="n">
        <f aca="false">G118/F118</f>
        <v>0.00174676447617985</v>
      </c>
    </row>
    <row r="119" customFormat="false" ht="15" hidden="false" customHeight="false" outlineLevel="0" collapsed="false">
      <c r="A119" s="7" t="s">
        <v>70</v>
      </c>
      <c r="B119" s="7" t="n">
        <v>2020</v>
      </c>
      <c r="C119" s="7" t="n">
        <v>10</v>
      </c>
      <c r="D119" s="7" t="s">
        <v>41</v>
      </c>
      <c r="E119" s="7" t="n">
        <v>10</v>
      </c>
      <c r="F119" s="7" t="n">
        <v>575121</v>
      </c>
      <c r="G119" s="7" t="n">
        <v>5897</v>
      </c>
      <c r="H119" s="7" t="n">
        <f aca="false">F119-G119</f>
        <v>569224</v>
      </c>
      <c r="I119" s="8" t="n">
        <f aca="false">G119/F119</f>
        <v>0.0102534944820307</v>
      </c>
    </row>
    <row r="120" customFormat="false" ht="15" hidden="false" customHeight="false" outlineLevel="0" collapsed="false">
      <c r="A120" s="7" t="s">
        <v>70</v>
      </c>
      <c r="B120" s="7" t="n">
        <v>2020</v>
      </c>
      <c r="C120" s="7" t="n">
        <v>11</v>
      </c>
      <c r="D120" s="7" t="s">
        <v>42</v>
      </c>
      <c r="E120" s="7" t="n">
        <v>11</v>
      </c>
      <c r="F120" s="7" t="n">
        <v>580537</v>
      </c>
      <c r="G120" s="7" t="n">
        <v>2314</v>
      </c>
      <c r="H120" s="7" t="n">
        <f aca="false">F120-G120</f>
        <v>578223</v>
      </c>
      <c r="I120" s="8" t="n">
        <f aca="false">G120/F120</f>
        <v>0.00398596471887236</v>
      </c>
    </row>
    <row r="121" customFormat="false" ht="15" hidden="false" customHeight="false" outlineLevel="0" collapsed="false">
      <c r="A121" s="7" t="s">
        <v>70</v>
      </c>
      <c r="B121" s="7" t="n">
        <v>2020</v>
      </c>
      <c r="C121" s="7" t="n">
        <v>12</v>
      </c>
      <c r="D121" s="7" t="s">
        <v>43</v>
      </c>
      <c r="E121" s="7" t="n">
        <v>12</v>
      </c>
      <c r="F121" s="7" t="n">
        <v>582923</v>
      </c>
      <c r="G121" s="7" t="n">
        <v>230</v>
      </c>
      <c r="H121" s="7" t="n">
        <f aca="false">F121-G121</f>
        <v>582693</v>
      </c>
      <c r="I121" s="8" t="n">
        <f aca="false">G121/F121</f>
        <v>0.000394563261356989</v>
      </c>
    </row>
    <row r="122" customFormat="false" ht="15" hidden="false" customHeight="false" outlineLevel="0" collapsed="false">
      <c r="A122" s="7" t="s">
        <v>70</v>
      </c>
      <c r="B122" s="7" t="n">
        <v>2021</v>
      </c>
      <c r="C122" s="7" t="n">
        <v>1</v>
      </c>
      <c r="D122" s="7" t="s">
        <v>44</v>
      </c>
      <c r="E122" s="7" t="n">
        <v>13</v>
      </c>
      <c r="F122" s="7" t="n">
        <v>460896</v>
      </c>
      <c r="G122" s="7" t="n">
        <v>5049</v>
      </c>
      <c r="H122" s="7" t="n">
        <f aca="false">F122-G122</f>
        <v>455847</v>
      </c>
      <c r="I122" s="8" t="n">
        <f aca="false">G122/F122</f>
        <v>0.0109547490106228</v>
      </c>
    </row>
    <row r="123" customFormat="false" ht="15" hidden="false" customHeight="false" outlineLevel="0" collapsed="false">
      <c r="A123" s="7" t="s">
        <v>70</v>
      </c>
      <c r="B123" s="7" t="n">
        <v>2021</v>
      </c>
      <c r="C123" s="7" t="n">
        <v>2</v>
      </c>
      <c r="D123" s="7" t="s">
        <v>45</v>
      </c>
      <c r="E123" s="7" t="n">
        <v>14</v>
      </c>
      <c r="F123" s="7" t="n">
        <v>465852</v>
      </c>
      <c r="G123" s="7" t="n">
        <v>5210</v>
      </c>
      <c r="H123" s="7" t="n">
        <f aca="false">F123-G123</f>
        <v>460642</v>
      </c>
      <c r="I123" s="8" t="n">
        <f aca="false">G123/F123</f>
        <v>0.0111838094502117</v>
      </c>
    </row>
    <row r="124" customFormat="false" ht="15" hidden="false" customHeight="false" outlineLevel="0" collapsed="false">
      <c r="A124" s="7" t="s">
        <v>70</v>
      </c>
      <c r="B124" s="7" t="n">
        <v>2021</v>
      </c>
      <c r="C124" s="7" t="n">
        <v>3</v>
      </c>
      <c r="D124" s="7" t="s">
        <v>46</v>
      </c>
      <c r="E124" s="7" t="n">
        <v>15</v>
      </c>
      <c r="F124" s="7" t="n">
        <v>469521</v>
      </c>
      <c r="G124" s="7" t="n">
        <v>2013</v>
      </c>
      <c r="H124" s="7" t="n">
        <f aca="false">F124-G124</f>
        <v>467508</v>
      </c>
      <c r="I124" s="8" t="n">
        <f aca="false">G124/F124</f>
        <v>0.00428734816973043</v>
      </c>
    </row>
    <row r="125" customFormat="false" ht="15" hidden="false" customHeight="false" outlineLevel="0" collapsed="false">
      <c r="A125" s="7" t="s">
        <v>70</v>
      </c>
      <c r="B125" s="7" t="n">
        <v>2021</v>
      </c>
      <c r="C125" s="7" t="n">
        <v>4</v>
      </c>
      <c r="D125" s="7" t="s">
        <v>47</v>
      </c>
      <c r="E125" s="7" t="n">
        <v>16</v>
      </c>
      <c r="F125" s="7" t="n">
        <v>477201</v>
      </c>
      <c r="G125" s="7" t="n">
        <v>963</v>
      </c>
      <c r="H125" s="7" t="n">
        <f aca="false">F125-G125</f>
        <v>476238</v>
      </c>
      <c r="I125" s="8" t="n">
        <f aca="false">G125/F125</f>
        <v>0.00201801756492547</v>
      </c>
    </row>
    <row r="126" customFormat="false" ht="15" hidden="false" customHeight="false" outlineLevel="0" collapsed="false">
      <c r="A126" s="7" t="s">
        <v>70</v>
      </c>
      <c r="B126" s="7" t="n">
        <v>2021</v>
      </c>
      <c r="C126" s="7" t="n">
        <v>5</v>
      </c>
      <c r="D126" s="7" t="s">
        <v>48</v>
      </c>
      <c r="E126" s="7" t="n">
        <v>17</v>
      </c>
      <c r="F126" s="7" t="n">
        <v>479231</v>
      </c>
      <c r="G126" s="7" t="n">
        <v>214</v>
      </c>
      <c r="H126" s="7" t="n">
        <f aca="false">F126-G126</f>
        <v>479017</v>
      </c>
      <c r="I126" s="8" t="n">
        <f aca="false">G126/F126</f>
        <v>0.000446548741629819</v>
      </c>
    </row>
    <row r="127" customFormat="false" ht="15" hidden="false" customHeight="false" outlineLevel="0" collapsed="false">
      <c r="A127" s="7" t="s">
        <v>70</v>
      </c>
      <c r="B127" s="7" t="n">
        <v>2021</v>
      </c>
      <c r="C127" s="7" t="n">
        <v>6</v>
      </c>
      <c r="D127" s="7" t="s">
        <v>49</v>
      </c>
      <c r="E127" s="7" t="n">
        <v>18</v>
      </c>
      <c r="F127" s="7" t="n">
        <v>482369</v>
      </c>
      <c r="G127" s="7" t="n">
        <v>3269</v>
      </c>
      <c r="H127" s="7" t="n">
        <f aca="false">F127-G127</f>
        <v>479100</v>
      </c>
      <c r="I127" s="8" t="n">
        <f aca="false">G127/F127</f>
        <v>0.0067769694984545</v>
      </c>
    </row>
    <row r="128" customFormat="false" ht="15" hidden="false" customHeight="false" outlineLevel="0" collapsed="false">
      <c r="A128" s="7" t="s">
        <v>70</v>
      </c>
      <c r="B128" s="7" t="n">
        <v>2021</v>
      </c>
      <c r="C128" s="7" t="n">
        <v>7</v>
      </c>
      <c r="D128" s="7" t="s">
        <v>50</v>
      </c>
      <c r="E128" s="7" t="n">
        <v>19</v>
      </c>
      <c r="F128" s="7" t="n">
        <v>492112</v>
      </c>
      <c r="G128" s="7" t="n">
        <v>1020</v>
      </c>
      <c r="H128" s="7" t="n">
        <f aca="false">F128-G128</f>
        <v>491092</v>
      </c>
      <c r="I128" s="8" t="n">
        <f aca="false">G128/F128</f>
        <v>0.00207269889781188</v>
      </c>
    </row>
    <row r="129" customFormat="false" ht="15" hidden="false" customHeight="false" outlineLevel="0" collapsed="false">
      <c r="A129" s="7" t="s">
        <v>70</v>
      </c>
      <c r="B129" s="7" t="n">
        <v>2021</v>
      </c>
      <c r="C129" s="7" t="n">
        <v>8</v>
      </c>
      <c r="D129" s="7" t="s">
        <v>51</v>
      </c>
      <c r="E129" s="7" t="n">
        <v>20</v>
      </c>
      <c r="F129" s="7" t="n">
        <v>499202</v>
      </c>
      <c r="G129" s="7" t="n">
        <v>1102</v>
      </c>
      <c r="H129" s="7" t="n">
        <f aca="false">F129-G129</f>
        <v>498100</v>
      </c>
      <c r="I129" s="8" t="n">
        <f aca="false">G129/F129</f>
        <v>0.00220752320703843</v>
      </c>
    </row>
    <row r="130" customFormat="false" ht="15" hidden="false" customHeight="false" outlineLevel="0" collapsed="false">
      <c r="A130" s="7" t="s">
        <v>70</v>
      </c>
      <c r="B130" s="7" t="n">
        <v>2021</v>
      </c>
      <c r="C130" s="7" t="n">
        <v>9</v>
      </c>
      <c r="D130" s="7" t="s">
        <v>52</v>
      </c>
      <c r="E130" s="7" t="n">
        <v>21</v>
      </c>
      <c r="F130" s="7" t="n">
        <v>510563</v>
      </c>
      <c r="G130" s="7" t="n">
        <v>639</v>
      </c>
      <c r="H130" s="7" t="n">
        <f aca="false">F130-G130</f>
        <v>509924</v>
      </c>
      <c r="I130" s="8" t="n">
        <f aca="false">G130/F130</f>
        <v>0.00125155955288574</v>
      </c>
    </row>
    <row r="131" customFormat="false" ht="15" hidden="false" customHeight="false" outlineLevel="0" collapsed="false">
      <c r="A131" s="7" t="s">
        <v>70</v>
      </c>
      <c r="B131" s="7" t="n">
        <v>2021</v>
      </c>
      <c r="C131" s="7" t="n">
        <v>10</v>
      </c>
      <c r="D131" s="7" t="s">
        <v>53</v>
      </c>
      <c r="E131" s="7" t="n">
        <v>22</v>
      </c>
      <c r="F131" s="7" t="n">
        <v>512236</v>
      </c>
      <c r="G131" s="7" t="n">
        <v>774</v>
      </c>
      <c r="H131" s="7" t="n">
        <f aca="false">F131-G131</f>
        <v>511462</v>
      </c>
      <c r="I131" s="8" t="n">
        <f aca="false">G131/F131</f>
        <v>0.00151102226317557</v>
      </c>
    </row>
    <row r="132" customFormat="false" ht="15" hidden="false" customHeight="false" outlineLevel="0" collapsed="false">
      <c r="A132" s="7" t="s">
        <v>70</v>
      </c>
      <c r="B132" s="7" t="n">
        <v>2021</v>
      </c>
      <c r="C132" s="7" t="n">
        <v>11</v>
      </c>
      <c r="D132" s="7" t="s">
        <v>54</v>
      </c>
      <c r="E132" s="7" t="n">
        <v>23</v>
      </c>
      <c r="F132" s="7" t="n">
        <v>523568</v>
      </c>
      <c r="G132" s="7" t="n">
        <v>1049</v>
      </c>
      <c r="H132" s="7" t="n">
        <f aca="false">F132-G132</f>
        <v>522519</v>
      </c>
      <c r="I132" s="8" t="n">
        <f aca="false">G132/F132</f>
        <v>0.00200356018702442</v>
      </c>
    </row>
    <row r="133" customFormat="false" ht="15" hidden="false" customHeight="false" outlineLevel="0" collapsed="false">
      <c r="A133" s="7" t="s">
        <v>70</v>
      </c>
      <c r="B133" s="7" t="n">
        <v>2021</v>
      </c>
      <c r="C133" s="7" t="n">
        <v>12</v>
      </c>
      <c r="D133" s="7" t="s">
        <v>55</v>
      </c>
      <c r="E133" s="7" t="n">
        <v>24</v>
      </c>
      <c r="F133" s="7" t="n">
        <v>528221</v>
      </c>
      <c r="G133" s="7" t="n">
        <v>3021</v>
      </c>
      <c r="H133" s="7" t="n">
        <f aca="false">F133-G133</f>
        <v>525200</v>
      </c>
      <c r="I133" s="8" t="n">
        <f aca="false">G133/F133</f>
        <v>0.00571919707849555</v>
      </c>
    </row>
    <row r="134" customFormat="false" ht="15" hidden="false" customHeight="false" outlineLevel="0" collapsed="false">
      <c r="A134" s="7" t="s">
        <v>70</v>
      </c>
      <c r="B134" s="7" t="n">
        <v>2022</v>
      </c>
      <c r="C134" s="7" t="n">
        <v>1</v>
      </c>
      <c r="D134" s="7" t="s">
        <v>56</v>
      </c>
      <c r="E134" s="7" t="n">
        <v>25</v>
      </c>
      <c r="F134" s="7" t="n">
        <v>562201</v>
      </c>
      <c r="G134" s="7" t="n">
        <v>1025</v>
      </c>
      <c r="H134" s="7" t="n">
        <f aca="false">F134-G134</f>
        <v>561176</v>
      </c>
      <c r="I134" s="8" t="n">
        <f aca="false">G134/F134</f>
        <v>0.001823191349713</v>
      </c>
    </row>
    <row r="135" customFormat="false" ht="15" hidden="false" customHeight="false" outlineLevel="0" collapsed="false">
      <c r="A135" s="7" t="s">
        <v>70</v>
      </c>
      <c r="B135" s="7" t="n">
        <v>2022</v>
      </c>
      <c r="C135" s="7" t="n">
        <v>2</v>
      </c>
      <c r="D135" s="7" t="s">
        <v>57</v>
      </c>
      <c r="E135" s="7" t="n">
        <v>26</v>
      </c>
      <c r="F135" s="7" t="n">
        <v>566231</v>
      </c>
      <c r="G135" s="7" t="n">
        <v>932</v>
      </c>
      <c r="H135" s="7" t="n">
        <f aca="false">F135-G135</f>
        <v>565299</v>
      </c>
      <c r="I135" s="8" t="n">
        <f aca="false">G135/F135</f>
        <v>0.00164597134385083</v>
      </c>
    </row>
    <row r="136" customFormat="false" ht="15" hidden="false" customHeight="false" outlineLevel="0" collapsed="false">
      <c r="A136" s="7" t="s">
        <v>70</v>
      </c>
      <c r="B136" s="7" t="n">
        <v>2022</v>
      </c>
      <c r="C136" s="7" t="n">
        <v>3</v>
      </c>
      <c r="D136" s="7" t="s">
        <v>58</v>
      </c>
      <c r="E136" s="7" t="n">
        <v>27</v>
      </c>
      <c r="F136" s="7" t="n">
        <v>578210</v>
      </c>
      <c r="G136" s="7" t="n">
        <v>2321</v>
      </c>
      <c r="H136" s="7" t="n">
        <f aca="false">F136-G136</f>
        <v>575889</v>
      </c>
      <c r="I136" s="8" t="n">
        <f aca="false">G136/F136</f>
        <v>0.00401411251967278</v>
      </c>
    </row>
    <row r="137" customFormat="false" ht="15" hidden="false" customHeight="false" outlineLevel="0" collapsed="false">
      <c r="A137" s="7" t="s">
        <v>70</v>
      </c>
      <c r="B137" s="7" t="n">
        <v>2022</v>
      </c>
      <c r="C137" s="7" t="n">
        <v>4</v>
      </c>
      <c r="D137" s="7" t="s">
        <v>59</v>
      </c>
      <c r="E137" s="7" t="n">
        <v>28</v>
      </c>
      <c r="F137" s="7" t="n">
        <v>582417</v>
      </c>
      <c r="G137" s="7" t="n">
        <v>4857</v>
      </c>
      <c r="H137" s="7" t="n">
        <f aca="false">F137-G137</f>
        <v>577560</v>
      </c>
      <c r="I137" s="8" t="n">
        <f aca="false">G137/F137</f>
        <v>0.00833938569787626</v>
      </c>
    </row>
    <row r="138" customFormat="false" ht="15" hidden="false" customHeight="false" outlineLevel="0" collapsed="false">
      <c r="A138" s="7" t="s">
        <v>70</v>
      </c>
      <c r="B138" s="7" t="n">
        <v>2022</v>
      </c>
      <c r="C138" s="7" t="n">
        <v>5</v>
      </c>
      <c r="D138" s="7" t="s">
        <v>60</v>
      </c>
      <c r="E138" s="7" t="n">
        <v>29</v>
      </c>
      <c r="F138" s="7" t="n">
        <v>586231</v>
      </c>
      <c r="G138" s="7" t="n">
        <v>5262</v>
      </c>
      <c r="H138" s="7" t="n">
        <f aca="false">F138-G138</f>
        <v>580969</v>
      </c>
      <c r="I138" s="8" t="n">
        <f aca="false">G138/F138</f>
        <v>0.00897598386983971</v>
      </c>
    </row>
    <row r="139" customFormat="false" ht="15" hidden="false" customHeight="false" outlineLevel="0" collapsed="false">
      <c r="A139" s="7" t="s">
        <v>70</v>
      </c>
      <c r="B139" s="7" t="n">
        <v>2022</v>
      </c>
      <c r="C139" s="7" t="n">
        <v>6</v>
      </c>
      <c r="D139" s="7" t="s">
        <v>61</v>
      </c>
      <c r="E139" s="7" t="n">
        <v>30</v>
      </c>
      <c r="F139" s="7" t="n">
        <v>590220</v>
      </c>
      <c r="G139" s="7" t="n">
        <v>6369</v>
      </c>
      <c r="H139" s="7" t="n">
        <f aca="false">F139-G139</f>
        <v>583851</v>
      </c>
      <c r="I139" s="8" t="n">
        <f aca="false">G139/F139</f>
        <v>0.0107908915319711</v>
      </c>
    </row>
    <row r="140" customFormat="false" ht="15" hidden="false" customHeight="false" outlineLevel="0" collapsed="false">
      <c r="A140" s="7" t="s">
        <v>70</v>
      </c>
      <c r="B140" s="7" t="n">
        <v>2022</v>
      </c>
      <c r="C140" s="7" t="n">
        <v>7</v>
      </c>
      <c r="D140" s="7" t="s">
        <v>62</v>
      </c>
      <c r="E140" s="7" t="n">
        <v>31</v>
      </c>
      <c r="F140" s="7" t="n">
        <v>593262</v>
      </c>
      <c r="G140" s="7" t="n">
        <v>2032</v>
      </c>
      <c r="H140" s="7" t="n">
        <f aca="false">F140-G140</f>
        <v>591230</v>
      </c>
      <c r="I140" s="8" t="n">
        <f aca="false">G140/F140</f>
        <v>0.00342513088652231</v>
      </c>
    </row>
    <row r="141" customFormat="false" ht="15" hidden="false" customHeight="false" outlineLevel="0" collapsed="false">
      <c r="A141" s="7" t="s">
        <v>70</v>
      </c>
      <c r="B141" s="7" t="n">
        <v>2022</v>
      </c>
      <c r="C141" s="7" t="n">
        <v>8</v>
      </c>
      <c r="D141" s="7" t="s">
        <v>63</v>
      </c>
      <c r="E141" s="7" t="n">
        <v>32</v>
      </c>
      <c r="F141" s="7" t="n">
        <v>598000</v>
      </c>
      <c r="G141" s="7" t="n">
        <v>987</v>
      </c>
      <c r="H141" s="7" t="n">
        <f aca="false">F141-G141</f>
        <v>597013</v>
      </c>
      <c r="I141" s="8" t="n">
        <f aca="false">G141/F141</f>
        <v>0.0016505016722408</v>
      </c>
    </row>
    <row r="142" customFormat="false" ht="15" hidden="false" customHeight="false" outlineLevel="0" collapsed="false">
      <c r="A142" s="7" t="s">
        <v>70</v>
      </c>
      <c r="B142" s="7" t="n">
        <v>2022</v>
      </c>
      <c r="C142" s="7" t="n">
        <v>9</v>
      </c>
      <c r="D142" s="7" t="s">
        <v>64</v>
      </c>
      <c r="E142" s="7" t="n">
        <v>33</v>
      </c>
      <c r="F142" s="7" t="n">
        <v>609201</v>
      </c>
      <c r="G142" s="7" t="n">
        <v>5632</v>
      </c>
      <c r="H142" s="7" t="n">
        <f aca="false">F142-G142</f>
        <v>603569</v>
      </c>
      <c r="I142" s="8" t="n">
        <f aca="false">G142/F142</f>
        <v>0.00924489618368979</v>
      </c>
    </row>
    <row r="143" customFormat="false" ht="15" hidden="false" customHeight="false" outlineLevel="0" collapsed="false">
      <c r="A143" s="7" t="s">
        <v>70</v>
      </c>
      <c r="B143" s="7" t="n">
        <v>2022</v>
      </c>
      <c r="C143" s="7" t="n">
        <v>10</v>
      </c>
      <c r="D143" s="7" t="s">
        <v>65</v>
      </c>
      <c r="E143" s="7" t="n">
        <v>34</v>
      </c>
      <c r="F143" s="7" t="n">
        <v>612285</v>
      </c>
      <c r="G143" s="7" t="n">
        <v>2013</v>
      </c>
      <c r="H143" s="7" t="n">
        <f aca="false">F143-G143</f>
        <v>610272</v>
      </c>
      <c r="I143" s="8" t="n">
        <f aca="false">G143/F143</f>
        <v>0.00328768465665499</v>
      </c>
    </row>
    <row r="144" customFormat="false" ht="15" hidden="false" customHeight="false" outlineLevel="0" collapsed="false">
      <c r="A144" s="7" t="s">
        <v>70</v>
      </c>
      <c r="B144" s="7" t="n">
        <v>2022</v>
      </c>
      <c r="C144" s="7" t="n">
        <v>11</v>
      </c>
      <c r="D144" s="7" t="s">
        <v>66</v>
      </c>
      <c r="E144" s="7" t="n">
        <v>35</v>
      </c>
      <c r="F144" s="7" t="n">
        <v>615869</v>
      </c>
      <c r="G144" s="7" t="n">
        <v>2650</v>
      </c>
      <c r="H144" s="7" t="n">
        <f aca="false">F144-G144</f>
        <v>613219</v>
      </c>
      <c r="I144" s="8" t="n">
        <f aca="false">G144/F144</f>
        <v>0.00430286310887543</v>
      </c>
    </row>
    <row r="145" customFormat="false" ht="15" hidden="false" customHeight="false" outlineLevel="0" collapsed="false">
      <c r="A145" s="7" t="s">
        <v>70</v>
      </c>
      <c r="B145" s="7" t="n">
        <v>2022</v>
      </c>
      <c r="C145" s="7" t="n">
        <v>12</v>
      </c>
      <c r="D145" s="7" t="s">
        <v>67</v>
      </c>
      <c r="E145" s="7" t="n">
        <v>36</v>
      </c>
      <c r="F145" s="7" t="n">
        <v>621200</v>
      </c>
      <c r="G145" s="7" t="n">
        <v>741</v>
      </c>
      <c r="H145" s="7" t="n">
        <f aca="false">F145-G145</f>
        <v>620459</v>
      </c>
      <c r="I145" s="8" t="n">
        <f aca="false">G145/F145</f>
        <v>0.00119285254346426</v>
      </c>
    </row>
    <row r="146" customFormat="false" ht="15" hidden="false" customHeight="false" outlineLevel="0" collapsed="false">
      <c r="A146" s="7" t="s">
        <v>71</v>
      </c>
      <c r="B146" s="7" t="n">
        <v>2020</v>
      </c>
      <c r="C146" s="7" t="n">
        <v>1</v>
      </c>
      <c r="D146" s="7" t="s">
        <v>32</v>
      </c>
      <c r="E146" s="7" t="n">
        <v>1</v>
      </c>
      <c r="F146" s="7" t="n">
        <v>231222</v>
      </c>
      <c r="G146" s="7" t="n">
        <v>345</v>
      </c>
      <c r="H146" s="7" t="n">
        <f aca="false">F146-G146</f>
        <v>230877</v>
      </c>
      <c r="I146" s="8" t="n">
        <f aca="false">G146/F146</f>
        <v>0.00149207255364974</v>
      </c>
    </row>
    <row r="147" customFormat="false" ht="15" hidden="false" customHeight="false" outlineLevel="0" collapsed="false">
      <c r="A147" s="7" t="s">
        <v>71</v>
      </c>
      <c r="B147" s="7" t="n">
        <v>2020</v>
      </c>
      <c r="C147" s="7" t="n">
        <v>2</v>
      </c>
      <c r="D147" s="7" t="s">
        <v>33</v>
      </c>
      <c r="E147" s="7" t="n">
        <v>2</v>
      </c>
      <c r="F147" s="7" t="n">
        <v>235584</v>
      </c>
      <c r="G147" s="7" t="n">
        <v>899</v>
      </c>
      <c r="H147" s="7" t="n">
        <f aca="false">F147-G147</f>
        <v>234685</v>
      </c>
      <c r="I147" s="8" t="n">
        <f aca="false">G147/F147</f>
        <v>0.00381604862809019</v>
      </c>
    </row>
    <row r="148" customFormat="false" ht="15" hidden="false" customHeight="false" outlineLevel="0" collapsed="false">
      <c r="A148" s="7" t="s">
        <v>71</v>
      </c>
      <c r="B148" s="7" t="n">
        <v>2020</v>
      </c>
      <c r="C148" s="7" t="n">
        <v>3</v>
      </c>
      <c r="D148" s="7" t="s">
        <v>34</v>
      </c>
      <c r="E148" s="7" t="n">
        <v>3</v>
      </c>
      <c r="F148" s="7" t="n">
        <v>239896</v>
      </c>
      <c r="G148" s="7" t="n">
        <v>526</v>
      </c>
      <c r="H148" s="7" t="n">
        <f aca="false">F148-G148</f>
        <v>239370</v>
      </c>
      <c r="I148" s="8" t="n">
        <f aca="false">G148/F148</f>
        <v>0.0021926168006136</v>
      </c>
    </row>
    <row r="149" customFormat="false" ht="15" hidden="false" customHeight="false" outlineLevel="0" collapsed="false">
      <c r="A149" s="7" t="s">
        <v>71</v>
      </c>
      <c r="B149" s="7" t="n">
        <v>2020</v>
      </c>
      <c r="C149" s="7" t="n">
        <v>4</v>
      </c>
      <c r="D149" s="7" t="s">
        <v>35</v>
      </c>
      <c r="E149" s="7" t="n">
        <v>4</v>
      </c>
      <c r="F149" s="7" t="n">
        <v>243569</v>
      </c>
      <c r="G149" s="7" t="n">
        <v>963</v>
      </c>
      <c r="H149" s="7" t="n">
        <f aca="false">F149-G149</f>
        <v>242606</v>
      </c>
      <c r="I149" s="8" t="n">
        <f aca="false">G149/F149</f>
        <v>0.00395370511025623</v>
      </c>
    </row>
    <row r="150" customFormat="false" ht="15" hidden="false" customHeight="false" outlineLevel="0" collapsed="false">
      <c r="A150" s="7" t="s">
        <v>71</v>
      </c>
      <c r="B150" s="7" t="n">
        <v>2020</v>
      </c>
      <c r="C150" s="7" t="n">
        <v>5</v>
      </c>
      <c r="D150" s="7" t="s">
        <v>36</v>
      </c>
      <c r="E150" s="7" t="n">
        <v>5</v>
      </c>
      <c r="F150" s="7" t="n">
        <v>247598</v>
      </c>
      <c r="G150" s="7" t="n">
        <v>1025</v>
      </c>
      <c r="H150" s="7" t="n">
        <f aca="false">F150-G150</f>
        <v>246573</v>
      </c>
      <c r="I150" s="8" t="n">
        <f aca="false">G150/F150</f>
        <v>0.00413977495779449</v>
      </c>
    </row>
    <row r="151" customFormat="false" ht="15" hidden="false" customHeight="false" outlineLevel="0" collapsed="false">
      <c r="A151" s="7" t="s">
        <v>71</v>
      </c>
      <c r="B151" s="7" t="n">
        <v>2020</v>
      </c>
      <c r="C151" s="7" t="n">
        <v>6</v>
      </c>
      <c r="D151" s="7" t="s">
        <v>37</v>
      </c>
      <c r="E151" s="7" t="n">
        <v>6</v>
      </c>
      <c r="F151" s="7" t="n">
        <v>249263</v>
      </c>
      <c r="G151" s="7" t="n">
        <v>226</v>
      </c>
      <c r="H151" s="7" t="n">
        <f aca="false">F151-G151</f>
        <v>249037</v>
      </c>
      <c r="I151" s="8" t="n">
        <f aca="false">G151/F151</f>
        <v>0.000906672871625552</v>
      </c>
    </row>
    <row r="152" customFormat="false" ht="15" hidden="false" customHeight="false" outlineLevel="0" collapsed="false">
      <c r="A152" s="7" t="s">
        <v>71</v>
      </c>
      <c r="B152" s="7" t="n">
        <v>2020</v>
      </c>
      <c r="C152" s="7" t="n">
        <v>7</v>
      </c>
      <c r="D152" s="7" t="s">
        <v>38</v>
      </c>
      <c r="E152" s="7" t="n">
        <v>7</v>
      </c>
      <c r="F152" s="7" t="n">
        <v>254896</v>
      </c>
      <c r="G152" s="7" t="n">
        <v>321</v>
      </c>
      <c r="H152" s="7" t="n">
        <f aca="false">F152-G152</f>
        <v>254575</v>
      </c>
      <c r="I152" s="8" t="n">
        <f aca="false">G152/F152</f>
        <v>0.00125933714142238</v>
      </c>
    </row>
    <row r="153" customFormat="false" ht="15" hidden="false" customHeight="false" outlineLevel="0" collapsed="false">
      <c r="A153" s="7" t="s">
        <v>71</v>
      </c>
      <c r="B153" s="7" t="n">
        <v>2020</v>
      </c>
      <c r="C153" s="7" t="n">
        <v>8</v>
      </c>
      <c r="D153" s="7" t="s">
        <v>39</v>
      </c>
      <c r="E153" s="7" t="n">
        <v>8</v>
      </c>
      <c r="F153" s="7" t="n">
        <v>258100</v>
      </c>
      <c r="G153" s="7" t="n">
        <v>108</v>
      </c>
      <c r="H153" s="7" t="n">
        <f aca="false">F153-G153</f>
        <v>257992</v>
      </c>
      <c r="I153" s="8" t="n">
        <f aca="false">G153/F153</f>
        <v>0.000418442464161178</v>
      </c>
    </row>
    <row r="154" customFormat="false" ht="15" hidden="false" customHeight="false" outlineLevel="0" collapsed="false">
      <c r="A154" s="7" t="s">
        <v>71</v>
      </c>
      <c r="B154" s="7" t="n">
        <v>2020</v>
      </c>
      <c r="C154" s="7" t="n">
        <v>9</v>
      </c>
      <c r="D154" s="7" t="s">
        <v>40</v>
      </c>
      <c r="E154" s="7" t="n">
        <v>9</v>
      </c>
      <c r="F154" s="7" t="n">
        <v>268200</v>
      </c>
      <c r="G154" s="7" t="n">
        <v>885</v>
      </c>
      <c r="H154" s="7" t="n">
        <f aca="false">F154-G154</f>
        <v>267315</v>
      </c>
      <c r="I154" s="8" t="n">
        <f aca="false">G154/F154</f>
        <v>0.00329977628635347</v>
      </c>
    </row>
    <row r="155" customFormat="false" ht="15" hidden="false" customHeight="false" outlineLevel="0" collapsed="false">
      <c r="A155" s="7" t="s">
        <v>71</v>
      </c>
      <c r="B155" s="7" t="n">
        <v>2020</v>
      </c>
      <c r="C155" s="7" t="n">
        <v>10</v>
      </c>
      <c r="D155" s="7" t="s">
        <v>41</v>
      </c>
      <c r="E155" s="7" t="n">
        <v>10</v>
      </c>
      <c r="F155" s="7" t="n">
        <v>269587</v>
      </c>
      <c r="G155" s="7" t="n">
        <v>692</v>
      </c>
      <c r="H155" s="7" t="n">
        <f aca="false">F155-G155</f>
        <v>268895</v>
      </c>
      <c r="I155" s="8" t="n">
        <f aca="false">G155/F155</f>
        <v>0.00256688935297325</v>
      </c>
    </row>
    <row r="156" customFormat="false" ht="15" hidden="false" customHeight="false" outlineLevel="0" collapsed="false">
      <c r="A156" s="7" t="s">
        <v>71</v>
      </c>
      <c r="B156" s="7" t="n">
        <v>2020</v>
      </c>
      <c r="C156" s="7" t="n">
        <v>11</v>
      </c>
      <c r="D156" s="7" t="s">
        <v>42</v>
      </c>
      <c r="E156" s="7" t="n">
        <v>11</v>
      </c>
      <c r="F156" s="7" t="n">
        <v>275598</v>
      </c>
      <c r="G156" s="7" t="n">
        <v>364</v>
      </c>
      <c r="H156" s="7" t="n">
        <f aca="false">F156-G156</f>
        <v>275234</v>
      </c>
      <c r="I156" s="8" t="n">
        <f aca="false">G156/F156</f>
        <v>0.00132076430162773</v>
      </c>
    </row>
    <row r="157" customFormat="false" ht="15" hidden="false" customHeight="false" outlineLevel="0" collapsed="false">
      <c r="A157" s="7" t="s">
        <v>71</v>
      </c>
      <c r="B157" s="7" t="n">
        <v>2020</v>
      </c>
      <c r="C157" s="7" t="n">
        <v>12</v>
      </c>
      <c r="D157" s="7" t="s">
        <v>43</v>
      </c>
      <c r="E157" s="7" t="n">
        <v>12</v>
      </c>
      <c r="F157" s="7" t="n">
        <v>278522</v>
      </c>
      <c r="G157" s="7" t="n">
        <v>147</v>
      </c>
      <c r="H157" s="7" t="n">
        <f aca="false">F157-G157</f>
        <v>278375</v>
      </c>
      <c r="I157" s="8" t="n">
        <f aca="false">G157/F157</f>
        <v>0.000527785955867041</v>
      </c>
    </row>
    <row r="158" customFormat="false" ht="15" hidden="false" customHeight="false" outlineLevel="0" collapsed="false">
      <c r="A158" s="7" t="s">
        <v>71</v>
      </c>
      <c r="B158" s="7" t="n">
        <v>2021</v>
      </c>
      <c r="C158" s="7" t="n">
        <v>1</v>
      </c>
      <c r="D158" s="7" t="s">
        <v>44</v>
      </c>
      <c r="E158" s="7" t="n">
        <v>13</v>
      </c>
      <c r="F158" s="7" t="n">
        <v>189265</v>
      </c>
      <c r="G158" s="7" t="n">
        <v>899</v>
      </c>
      <c r="H158" s="7" t="n">
        <f aca="false">F158-G158</f>
        <v>188366</v>
      </c>
      <c r="I158" s="8" t="n">
        <f aca="false">G158/F158</f>
        <v>0.00474995376852561</v>
      </c>
    </row>
    <row r="159" customFormat="false" ht="15" hidden="false" customHeight="false" outlineLevel="0" collapsed="false">
      <c r="A159" s="7" t="s">
        <v>71</v>
      </c>
      <c r="B159" s="7" t="n">
        <v>2021</v>
      </c>
      <c r="C159" s="7" t="n">
        <v>2</v>
      </c>
      <c r="D159" s="7" t="s">
        <v>45</v>
      </c>
      <c r="E159" s="7" t="n">
        <v>14</v>
      </c>
      <c r="F159" s="7" t="n">
        <v>195588</v>
      </c>
      <c r="G159" s="7" t="n">
        <v>201</v>
      </c>
      <c r="H159" s="7" t="n">
        <f aca="false">F159-G159</f>
        <v>195387</v>
      </c>
      <c r="I159" s="8" t="n">
        <f aca="false">G159/F159</f>
        <v>0.00102767040922756</v>
      </c>
    </row>
    <row r="160" customFormat="false" ht="15" hidden="false" customHeight="false" outlineLevel="0" collapsed="false">
      <c r="A160" s="7" t="s">
        <v>71</v>
      </c>
      <c r="B160" s="7" t="n">
        <v>2021</v>
      </c>
      <c r="C160" s="7" t="n">
        <v>3</v>
      </c>
      <c r="D160" s="7" t="s">
        <v>46</v>
      </c>
      <c r="E160" s="7" t="n">
        <v>15</v>
      </c>
      <c r="F160" s="7" t="n">
        <v>198526</v>
      </c>
      <c r="G160" s="7" t="n">
        <v>1998</v>
      </c>
      <c r="H160" s="7" t="n">
        <f aca="false">F160-G160</f>
        <v>196528</v>
      </c>
      <c r="I160" s="8" t="n">
        <f aca="false">G160/F160</f>
        <v>0.010064172954676</v>
      </c>
    </row>
    <row r="161" customFormat="false" ht="15" hidden="false" customHeight="false" outlineLevel="0" collapsed="false">
      <c r="A161" s="7" t="s">
        <v>71</v>
      </c>
      <c r="B161" s="7" t="n">
        <v>2021</v>
      </c>
      <c r="C161" s="7" t="n">
        <v>4</v>
      </c>
      <c r="D161" s="7" t="s">
        <v>47</v>
      </c>
      <c r="E161" s="7" t="n">
        <v>16</v>
      </c>
      <c r="F161" s="7" t="n">
        <v>201235</v>
      </c>
      <c r="G161" s="7" t="n">
        <v>1320</v>
      </c>
      <c r="H161" s="7" t="n">
        <f aca="false">F161-G161</f>
        <v>199915</v>
      </c>
      <c r="I161" s="8" t="n">
        <f aca="false">G161/F161</f>
        <v>0.00655949511764852</v>
      </c>
    </row>
    <row r="162" customFormat="false" ht="15" hidden="false" customHeight="false" outlineLevel="0" collapsed="false">
      <c r="A162" s="7" t="s">
        <v>71</v>
      </c>
      <c r="B162" s="7" t="n">
        <v>2021</v>
      </c>
      <c r="C162" s="7" t="n">
        <v>5</v>
      </c>
      <c r="D162" s="7" t="s">
        <v>48</v>
      </c>
      <c r="E162" s="7" t="n">
        <v>17</v>
      </c>
      <c r="F162" s="7" t="n">
        <v>210256</v>
      </c>
      <c r="G162" s="7" t="n">
        <v>239</v>
      </c>
      <c r="H162" s="7" t="n">
        <f aca="false">F162-G162</f>
        <v>210017</v>
      </c>
      <c r="I162" s="8" t="n">
        <f aca="false">G162/F162</f>
        <v>0.001136709535043</v>
      </c>
    </row>
    <row r="163" customFormat="false" ht="15" hidden="false" customHeight="false" outlineLevel="0" collapsed="false">
      <c r="A163" s="7" t="s">
        <v>71</v>
      </c>
      <c r="B163" s="7" t="n">
        <v>2021</v>
      </c>
      <c r="C163" s="7" t="n">
        <v>6</v>
      </c>
      <c r="D163" s="7" t="s">
        <v>49</v>
      </c>
      <c r="E163" s="7" t="n">
        <v>18</v>
      </c>
      <c r="F163" s="7" t="n">
        <v>215588</v>
      </c>
      <c r="G163" s="7" t="n">
        <v>635</v>
      </c>
      <c r="H163" s="7" t="n">
        <f aca="false">F163-G163</f>
        <v>214953</v>
      </c>
      <c r="I163" s="8" t="n">
        <f aca="false">G163/F163</f>
        <v>0.00294543295545207</v>
      </c>
    </row>
    <row r="164" customFormat="false" ht="15" hidden="false" customHeight="false" outlineLevel="0" collapsed="false">
      <c r="A164" s="7" t="s">
        <v>71</v>
      </c>
      <c r="B164" s="7" t="n">
        <v>2021</v>
      </c>
      <c r="C164" s="7" t="n">
        <v>7</v>
      </c>
      <c r="D164" s="7" t="s">
        <v>50</v>
      </c>
      <c r="E164" s="7" t="n">
        <v>19</v>
      </c>
      <c r="F164" s="7" t="n">
        <v>216639</v>
      </c>
      <c r="G164" s="7" t="n">
        <v>1205</v>
      </c>
      <c r="H164" s="7" t="n">
        <f aca="false">F164-G164</f>
        <v>215434</v>
      </c>
      <c r="I164" s="8" t="n">
        <f aca="false">G164/F164</f>
        <v>0.00556224871791321</v>
      </c>
    </row>
    <row r="165" customFormat="false" ht="15" hidden="false" customHeight="false" outlineLevel="0" collapsed="false">
      <c r="A165" s="7" t="s">
        <v>71</v>
      </c>
      <c r="B165" s="7" t="n">
        <v>2021</v>
      </c>
      <c r="C165" s="7" t="n">
        <v>8</v>
      </c>
      <c r="D165" s="7" t="s">
        <v>51</v>
      </c>
      <c r="E165" s="7" t="n">
        <v>20</v>
      </c>
      <c r="F165" s="7" t="n">
        <v>222584</v>
      </c>
      <c r="G165" s="7" t="n">
        <v>230</v>
      </c>
      <c r="H165" s="7" t="n">
        <f aca="false">F165-G165</f>
        <v>222354</v>
      </c>
      <c r="I165" s="8" t="n">
        <f aca="false">G165/F165</f>
        <v>0.00103331775868885</v>
      </c>
    </row>
    <row r="166" customFormat="false" ht="15" hidden="false" customHeight="false" outlineLevel="0" collapsed="false">
      <c r="A166" s="7" t="s">
        <v>71</v>
      </c>
      <c r="B166" s="7" t="n">
        <v>2021</v>
      </c>
      <c r="C166" s="7" t="n">
        <v>9</v>
      </c>
      <c r="D166" s="7" t="s">
        <v>52</v>
      </c>
      <c r="E166" s="7" t="n">
        <v>21</v>
      </c>
      <c r="F166" s="7" t="n">
        <v>232569</v>
      </c>
      <c r="G166" s="7" t="n">
        <v>1482</v>
      </c>
      <c r="H166" s="7" t="n">
        <f aca="false">F166-G166</f>
        <v>231087</v>
      </c>
      <c r="I166" s="8" t="n">
        <f aca="false">G166/F166</f>
        <v>0.00637230241347729</v>
      </c>
    </row>
    <row r="167" customFormat="false" ht="15" hidden="false" customHeight="false" outlineLevel="0" collapsed="false">
      <c r="A167" s="7" t="s">
        <v>71</v>
      </c>
      <c r="B167" s="7" t="n">
        <v>2021</v>
      </c>
      <c r="C167" s="7" t="n">
        <v>10</v>
      </c>
      <c r="D167" s="7" t="s">
        <v>53</v>
      </c>
      <c r="E167" s="7" t="n">
        <v>22</v>
      </c>
      <c r="F167" s="7" t="n">
        <v>237895</v>
      </c>
      <c r="G167" s="7" t="n">
        <v>589</v>
      </c>
      <c r="H167" s="7" t="n">
        <f aca="false">F167-G167</f>
        <v>237306</v>
      </c>
      <c r="I167" s="8" t="n">
        <f aca="false">G167/F167</f>
        <v>0.00247588221694445</v>
      </c>
    </row>
    <row r="168" customFormat="false" ht="15" hidden="false" customHeight="false" outlineLevel="0" collapsed="false">
      <c r="A168" s="7" t="s">
        <v>71</v>
      </c>
      <c r="B168" s="7" t="n">
        <v>2021</v>
      </c>
      <c r="C168" s="7" t="n">
        <v>11</v>
      </c>
      <c r="D168" s="7" t="s">
        <v>54</v>
      </c>
      <c r="E168" s="7" t="n">
        <v>23</v>
      </c>
      <c r="F168" s="7" t="n">
        <v>240212</v>
      </c>
      <c r="G168" s="7" t="n">
        <v>995</v>
      </c>
      <c r="H168" s="7" t="n">
        <f aca="false">F168-G168</f>
        <v>239217</v>
      </c>
      <c r="I168" s="8" t="n">
        <f aca="false">G168/F168</f>
        <v>0.0041421744126022</v>
      </c>
    </row>
    <row r="169" customFormat="false" ht="15" hidden="false" customHeight="false" outlineLevel="0" collapsed="false">
      <c r="A169" s="7" t="s">
        <v>71</v>
      </c>
      <c r="B169" s="7" t="n">
        <v>2021</v>
      </c>
      <c r="C169" s="7" t="n">
        <v>12</v>
      </c>
      <c r="D169" s="7" t="s">
        <v>55</v>
      </c>
      <c r="E169" s="7" t="n">
        <v>24</v>
      </c>
      <c r="F169" s="7" t="n">
        <v>246258</v>
      </c>
      <c r="G169" s="7" t="n">
        <v>2017</v>
      </c>
      <c r="H169" s="7" t="n">
        <f aca="false">F169-G169</f>
        <v>244241</v>
      </c>
      <c r="I169" s="8" t="n">
        <f aca="false">G169/F169</f>
        <v>0.00819059685370628</v>
      </c>
    </row>
    <row r="170" customFormat="false" ht="15" hidden="false" customHeight="false" outlineLevel="0" collapsed="false">
      <c r="A170" s="7" t="s">
        <v>71</v>
      </c>
      <c r="B170" s="7" t="n">
        <v>2022</v>
      </c>
      <c r="C170" s="7" t="n">
        <v>1</v>
      </c>
      <c r="D170" s="7" t="s">
        <v>56</v>
      </c>
      <c r="E170" s="7" t="n">
        <v>25</v>
      </c>
      <c r="F170" s="7" t="n">
        <v>221869</v>
      </c>
      <c r="G170" s="7" t="n">
        <v>1025</v>
      </c>
      <c r="H170" s="7" t="n">
        <f aca="false">F170-G170</f>
        <v>220844</v>
      </c>
      <c r="I170" s="8" t="n">
        <f aca="false">G170/F170</f>
        <v>0.0046198432408313</v>
      </c>
    </row>
    <row r="171" customFormat="false" ht="15" hidden="false" customHeight="false" outlineLevel="0" collapsed="false">
      <c r="A171" s="7" t="s">
        <v>71</v>
      </c>
      <c r="B171" s="7" t="n">
        <v>2022</v>
      </c>
      <c r="C171" s="7" t="n">
        <v>2</v>
      </c>
      <c r="D171" s="7" t="s">
        <v>57</v>
      </c>
      <c r="E171" s="7" t="n">
        <v>26</v>
      </c>
      <c r="F171" s="7" t="n">
        <v>226896</v>
      </c>
      <c r="G171" s="7" t="n">
        <v>1258</v>
      </c>
      <c r="H171" s="7" t="n">
        <f aca="false">F171-G171</f>
        <v>225638</v>
      </c>
      <c r="I171" s="8" t="n">
        <f aca="false">G171/F171</f>
        <v>0.00554439038149637</v>
      </c>
    </row>
    <row r="172" customFormat="false" ht="15" hidden="false" customHeight="false" outlineLevel="0" collapsed="false">
      <c r="A172" s="7" t="s">
        <v>71</v>
      </c>
      <c r="B172" s="7" t="n">
        <v>2022</v>
      </c>
      <c r="C172" s="7" t="n">
        <v>3</v>
      </c>
      <c r="D172" s="7" t="s">
        <v>58</v>
      </c>
      <c r="E172" s="7" t="n">
        <v>27</v>
      </c>
      <c r="F172" s="7" t="n">
        <v>236563</v>
      </c>
      <c r="G172" s="7" t="n">
        <v>963</v>
      </c>
      <c r="H172" s="7" t="n">
        <f aca="false">F172-G172</f>
        <v>235600</v>
      </c>
      <c r="I172" s="8" t="n">
        <f aca="false">G172/F172</f>
        <v>0.00407079720835465</v>
      </c>
    </row>
    <row r="173" customFormat="false" ht="15" hidden="false" customHeight="false" outlineLevel="0" collapsed="false">
      <c r="A173" s="7" t="s">
        <v>71</v>
      </c>
      <c r="B173" s="7" t="n">
        <v>2022</v>
      </c>
      <c r="C173" s="7" t="n">
        <v>4</v>
      </c>
      <c r="D173" s="7" t="s">
        <v>59</v>
      </c>
      <c r="E173" s="7" t="n">
        <v>28</v>
      </c>
      <c r="F173" s="7" t="n">
        <v>238874</v>
      </c>
      <c r="G173" s="7" t="n">
        <v>789</v>
      </c>
      <c r="H173" s="7" t="n">
        <f aca="false">F173-G173</f>
        <v>238085</v>
      </c>
      <c r="I173" s="8" t="n">
        <f aca="false">G173/F173</f>
        <v>0.0033029965588553</v>
      </c>
    </row>
    <row r="174" customFormat="false" ht="15" hidden="false" customHeight="false" outlineLevel="0" collapsed="false">
      <c r="A174" s="7" t="s">
        <v>71</v>
      </c>
      <c r="B174" s="7" t="n">
        <v>2022</v>
      </c>
      <c r="C174" s="7" t="n">
        <v>5</v>
      </c>
      <c r="D174" s="7" t="s">
        <v>60</v>
      </c>
      <c r="E174" s="7" t="n">
        <v>29</v>
      </c>
      <c r="F174" s="7" t="n">
        <v>245110</v>
      </c>
      <c r="G174" s="7" t="n">
        <v>2358</v>
      </c>
      <c r="H174" s="7" t="n">
        <f aca="false">F174-G174</f>
        <v>242752</v>
      </c>
      <c r="I174" s="8" t="n">
        <f aca="false">G174/F174</f>
        <v>0.00962017053567786</v>
      </c>
    </row>
    <row r="175" customFormat="false" ht="15" hidden="false" customHeight="false" outlineLevel="0" collapsed="false">
      <c r="A175" s="7" t="s">
        <v>71</v>
      </c>
      <c r="B175" s="7" t="n">
        <v>2022</v>
      </c>
      <c r="C175" s="7" t="n">
        <v>6</v>
      </c>
      <c r="D175" s="7" t="s">
        <v>61</v>
      </c>
      <c r="E175" s="7" t="n">
        <v>30</v>
      </c>
      <c r="F175" s="7" t="n">
        <v>249236</v>
      </c>
      <c r="G175" s="7" t="n">
        <v>471</v>
      </c>
      <c r="H175" s="7" t="n">
        <f aca="false">F175-G175</f>
        <v>248765</v>
      </c>
      <c r="I175" s="8" t="n">
        <f aca="false">G175/F175</f>
        <v>0.00188977515286716</v>
      </c>
    </row>
    <row r="176" customFormat="false" ht="15" hidden="false" customHeight="false" outlineLevel="0" collapsed="false">
      <c r="A176" s="7" t="s">
        <v>71</v>
      </c>
      <c r="B176" s="7" t="n">
        <v>2022</v>
      </c>
      <c r="C176" s="7" t="n">
        <v>7</v>
      </c>
      <c r="D176" s="7" t="s">
        <v>62</v>
      </c>
      <c r="E176" s="7" t="n">
        <v>31</v>
      </c>
      <c r="F176" s="7" t="n">
        <v>256963</v>
      </c>
      <c r="G176" s="7" t="n">
        <v>589</v>
      </c>
      <c r="H176" s="7" t="n">
        <f aca="false">F176-G176</f>
        <v>256374</v>
      </c>
      <c r="I176" s="8" t="n">
        <f aca="false">G176/F176</f>
        <v>0.00229215879328931</v>
      </c>
    </row>
    <row r="177" customFormat="false" ht="15" hidden="false" customHeight="false" outlineLevel="0" collapsed="false">
      <c r="A177" s="7" t="s">
        <v>71</v>
      </c>
      <c r="B177" s="7" t="n">
        <v>2022</v>
      </c>
      <c r="C177" s="7" t="n">
        <v>8</v>
      </c>
      <c r="D177" s="7" t="s">
        <v>63</v>
      </c>
      <c r="E177" s="7" t="n">
        <v>32</v>
      </c>
      <c r="F177" s="7" t="n">
        <v>261110</v>
      </c>
      <c r="G177" s="7" t="n">
        <v>2358</v>
      </c>
      <c r="H177" s="7" t="n">
        <f aca="false">F177-G177</f>
        <v>258752</v>
      </c>
      <c r="I177" s="8" t="n">
        <f aca="false">G177/F177</f>
        <v>0.00903067672628394</v>
      </c>
    </row>
    <row r="178" customFormat="false" ht="15" hidden="false" customHeight="false" outlineLevel="0" collapsed="false">
      <c r="A178" s="7" t="s">
        <v>71</v>
      </c>
      <c r="B178" s="7" t="n">
        <v>2022</v>
      </c>
      <c r="C178" s="7" t="n">
        <v>9</v>
      </c>
      <c r="D178" s="7" t="s">
        <v>64</v>
      </c>
      <c r="E178" s="7" t="n">
        <v>33</v>
      </c>
      <c r="F178" s="7" t="n">
        <v>268741</v>
      </c>
      <c r="G178" s="7" t="n">
        <v>2590</v>
      </c>
      <c r="H178" s="7" t="n">
        <f aca="false">F178-G178</f>
        <v>266151</v>
      </c>
      <c r="I178" s="8" t="n">
        <f aca="false">G178/F178</f>
        <v>0.00963753204758485</v>
      </c>
    </row>
    <row r="179" customFormat="false" ht="15" hidden="false" customHeight="false" outlineLevel="0" collapsed="false">
      <c r="A179" s="7" t="s">
        <v>71</v>
      </c>
      <c r="B179" s="7" t="n">
        <v>2022</v>
      </c>
      <c r="C179" s="7" t="n">
        <v>10</v>
      </c>
      <c r="D179" s="7" t="s">
        <v>65</v>
      </c>
      <c r="E179" s="7" t="n">
        <v>34</v>
      </c>
      <c r="F179" s="7" t="n">
        <v>275302</v>
      </c>
      <c r="G179" s="7" t="n">
        <v>698</v>
      </c>
      <c r="H179" s="7" t="n">
        <f aca="false">F179-G179</f>
        <v>274604</v>
      </c>
      <c r="I179" s="8" t="n">
        <f aca="false">G179/F179</f>
        <v>0.00253539749075561</v>
      </c>
    </row>
    <row r="180" customFormat="false" ht="15" hidden="false" customHeight="false" outlineLevel="0" collapsed="false">
      <c r="A180" s="7" t="s">
        <v>71</v>
      </c>
      <c r="B180" s="7" t="n">
        <v>2022</v>
      </c>
      <c r="C180" s="7" t="n">
        <v>11</v>
      </c>
      <c r="D180" s="7" t="s">
        <v>66</v>
      </c>
      <c r="E180" s="7" t="n">
        <v>35</v>
      </c>
      <c r="F180" s="7" t="n">
        <v>279231</v>
      </c>
      <c r="G180" s="7" t="n">
        <v>1005</v>
      </c>
      <c r="H180" s="7" t="n">
        <f aca="false">F180-G180</f>
        <v>278226</v>
      </c>
      <c r="I180" s="8" t="n">
        <f aca="false">G180/F180</f>
        <v>0.00359917057919787</v>
      </c>
    </row>
    <row r="181" customFormat="false" ht="15" hidden="false" customHeight="false" outlineLevel="0" collapsed="false">
      <c r="A181" s="7" t="s">
        <v>71</v>
      </c>
      <c r="B181" s="7" t="n">
        <v>2022</v>
      </c>
      <c r="C181" s="7" t="n">
        <v>12</v>
      </c>
      <c r="D181" s="7" t="s">
        <v>67</v>
      </c>
      <c r="E181" s="7" t="n">
        <v>36</v>
      </c>
      <c r="F181" s="7" t="n">
        <v>286258</v>
      </c>
      <c r="G181" s="7" t="n">
        <v>2505</v>
      </c>
      <c r="H181" s="7" t="n">
        <f aca="false">F181-G181</f>
        <v>283753</v>
      </c>
      <c r="I181" s="8" t="n">
        <f aca="false">G181/F181</f>
        <v>0.00875084713789658</v>
      </c>
    </row>
    <row r="182" customFormat="false" ht="15" hidden="false" customHeight="false" outlineLevel="0" collapsed="false">
      <c r="A182" s="7" t="s">
        <v>72</v>
      </c>
      <c r="B182" s="7" t="n">
        <v>2020</v>
      </c>
      <c r="C182" s="7" t="n">
        <v>1</v>
      </c>
      <c r="D182" s="7" t="s">
        <v>32</v>
      </c>
      <c r="E182" s="7" t="n">
        <v>1</v>
      </c>
      <c r="F182" s="7" t="n">
        <f aca="false">SUMIFS($F$2:$F181,$E$2:$E181,E182)</f>
        <v>2195848</v>
      </c>
      <c r="G182" s="7" t="n">
        <f aca="false">SUMIFS($G$2:$G181,$E$2:$E181,E182)</f>
        <v>20171</v>
      </c>
      <c r="H182" s="7" t="n">
        <f aca="false">F182-G182</f>
        <v>2175677</v>
      </c>
      <c r="I182" s="8" t="n">
        <f aca="false">G182/F182</f>
        <v>0.00918597279957447</v>
      </c>
    </row>
    <row r="183" customFormat="false" ht="15" hidden="false" customHeight="false" outlineLevel="0" collapsed="false">
      <c r="A183" s="7" t="s">
        <v>72</v>
      </c>
      <c r="B183" s="7" t="n">
        <v>2020</v>
      </c>
      <c r="C183" s="7" t="n">
        <v>2</v>
      </c>
      <c r="D183" s="7" t="s">
        <v>33</v>
      </c>
      <c r="E183" s="7" t="n">
        <v>2</v>
      </c>
      <c r="F183" s="7" t="n">
        <f aca="false">SUMIFS($F$2:$F181,$E$2:$E181,E183)</f>
        <v>2207257</v>
      </c>
      <c r="G183" s="7" t="n">
        <f aca="false">SUMIFS($G$2:$G181,$E$2:$E181,E183)</f>
        <v>10081</v>
      </c>
      <c r="H183" s="7" t="n">
        <f aca="false">F183-G183</f>
        <v>2197176</v>
      </c>
      <c r="I183" s="8" t="n">
        <f aca="false">G183/F183</f>
        <v>0.00456720717161617</v>
      </c>
    </row>
    <row r="184" customFormat="false" ht="15" hidden="false" customHeight="false" outlineLevel="0" collapsed="false">
      <c r="A184" s="7" t="s">
        <v>72</v>
      </c>
      <c r="B184" s="7" t="n">
        <v>2020</v>
      </c>
      <c r="C184" s="7" t="n">
        <v>3</v>
      </c>
      <c r="D184" s="7" t="s">
        <v>34</v>
      </c>
      <c r="E184" s="7" t="n">
        <v>3</v>
      </c>
      <c r="F184" s="7" t="n">
        <f aca="false">SUMIFS($F$2:$F181,$E$2:$E181,E184)</f>
        <v>3083281</v>
      </c>
      <c r="G184" s="7" t="n">
        <f aca="false">SUMIFS($G$2:$G181,$E$2:$E181,E184)</f>
        <v>18189</v>
      </c>
      <c r="H184" s="7" t="n">
        <f aca="false">F184-G184</f>
        <v>3065092</v>
      </c>
      <c r="I184" s="8" t="n">
        <f aca="false">G184/F184</f>
        <v>0.00589923526269581</v>
      </c>
    </row>
    <row r="185" customFormat="false" ht="15" hidden="false" customHeight="false" outlineLevel="0" collapsed="false">
      <c r="A185" s="7" t="s">
        <v>72</v>
      </c>
      <c r="B185" s="7" t="n">
        <v>2020</v>
      </c>
      <c r="C185" s="7" t="n">
        <v>4</v>
      </c>
      <c r="D185" s="7" t="s">
        <v>35</v>
      </c>
      <c r="E185" s="7" t="n">
        <v>4</v>
      </c>
      <c r="F185" s="7" t="n">
        <f aca="false">SUMIFS($F$2:$F181,$E$2:$E181,E185)</f>
        <v>2496851</v>
      </c>
      <c r="G185" s="7" t="n">
        <f aca="false">SUMIFS($G$2:$G181,$E$2:$E181,E185)</f>
        <v>21643</v>
      </c>
      <c r="H185" s="7" t="n">
        <f aca="false">F185-G185</f>
        <v>2475208</v>
      </c>
      <c r="I185" s="8" t="n">
        <f aca="false">G185/F185</f>
        <v>0.00866811836188863</v>
      </c>
    </row>
    <row r="186" customFormat="false" ht="15" hidden="false" customHeight="false" outlineLevel="0" collapsed="false">
      <c r="A186" s="7" t="s">
        <v>72</v>
      </c>
      <c r="B186" s="7" t="n">
        <v>2020</v>
      </c>
      <c r="C186" s="7" t="n">
        <v>5</v>
      </c>
      <c r="D186" s="7" t="s">
        <v>36</v>
      </c>
      <c r="E186" s="7" t="n">
        <v>5</v>
      </c>
      <c r="F186" s="7" t="n">
        <f aca="false">SUMIFS($F$2:$F181,$E$2:$E181,E186)</f>
        <v>3340891</v>
      </c>
      <c r="G186" s="7" t="n">
        <f aca="false">SUMIFS($G$2:$G181,$E$2:$E181,E186)</f>
        <v>18123</v>
      </c>
      <c r="H186" s="7" t="n">
        <f aca="false">F186-G186</f>
        <v>3322768</v>
      </c>
      <c r="I186" s="8" t="n">
        <f aca="false">G186/F186</f>
        <v>0.00542460080260027</v>
      </c>
    </row>
    <row r="187" customFormat="false" ht="15" hidden="false" customHeight="false" outlineLevel="0" collapsed="false">
      <c r="A187" s="7" t="s">
        <v>72</v>
      </c>
      <c r="B187" s="7" t="n">
        <v>2020</v>
      </c>
      <c r="C187" s="7" t="n">
        <v>6</v>
      </c>
      <c r="D187" s="7" t="s">
        <v>37</v>
      </c>
      <c r="E187" s="7" t="n">
        <v>6</v>
      </c>
      <c r="F187" s="7" t="n">
        <f aca="false">SUMIFS($F$2:$F181,$E$2:$E181,E187)</f>
        <v>3937405</v>
      </c>
      <c r="G187" s="7" t="n">
        <f aca="false">SUMIFS($G$2:$G181,$E$2:$E181,E187)</f>
        <v>30380</v>
      </c>
      <c r="H187" s="7" t="n">
        <f aca="false">F187-G187</f>
        <v>3907025</v>
      </c>
      <c r="I187" s="8" t="n">
        <f aca="false">G187/F187</f>
        <v>0.0077157417131334</v>
      </c>
    </row>
    <row r="188" customFormat="false" ht="15" hidden="false" customHeight="false" outlineLevel="0" collapsed="false">
      <c r="A188" s="7" t="s">
        <v>72</v>
      </c>
      <c r="B188" s="7" t="n">
        <v>2020</v>
      </c>
      <c r="C188" s="7" t="n">
        <v>7</v>
      </c>
      <c r="D188" s="7" t="s">
        <v>38</v>
      </c>
      <c r="E188" s="7" t="n">
        <v>7</v>
      </c>
      <c r="F188" s="7" t="n">
        <f aca="false">SUMIFS($F$2:$F181,$E$2:$E181,E188)</f>
        <v>3236264</v>
      </c>
      <c r="G188" s="7" t="n">
        <f aca="false">SUMIFS($G$2:$G181,$E$2:$E181,E188)</f>
        <v>27920</v>
      </c>
      <c r="H188" s="7" t="n">
        <f aca="false">F188-G188</f>
        <v>3208344</v>
      </c>
      <c r="I188" s="8" t="n">
        <f aca="false">G188/F188</f>
        <v>0.00862723189455496</v>
      </c>
    </row>
    <row r="189" customFormat="false" ht="15" hidden="false" customHeight="false" outlineLevel="0" collapsed="false">
      <c r="A189" s="7" t="s">
        <v>72</v>
      </c>
      <c r="B189" s="7" t="n">
        <v>2020</v>
      </c>
      <c r="C189" s="7" t="n">
        <v>8</v>
      </c>
      <c r="D189" s="7" t="s">
        <v>39</v>
      </c>
      <c r="E189" s="7" t="n">
        <v>8</v>
      </c>
      <c r="F189" s="7" t="n">
        <f aca="false">SUMIFS($F$2:$F181,$E$2:$E181,E189)</f>
        <v>2978169</v>
      </c>
      <c r="G189" s="7" t="n">
        <f aca="false">SUMIFS($G$2:$G181,$E$2:$E181,E189)</f>
        <v>9510</v>
      </c>
      <c r="H189" s="7" t="n">
        <f aca="false">F189-G189</f>
        <v>2968659</v>
      </c>
      <c r="I189" s="8" t="n">
        <f aca="false">G189/F189</f>
        <v>0.00319323718700987</v>
      </c>
    </row>
    <row r="190" customFormat="false" ht="15" hidden="false" customHeight="false" outlineLevel="0" collapsed="false">
      <c r="A190" s="7" t="s">
        <v>72</v>
      </c>
      <c r="B190" s="7" t="n">
        <v>2020</v>
      </c>
      <c r="C190" s="7" t="n">
        <v>9</v>
      </c>
      <c r="D190" s="7" t="s">
        <v>40</v>
      </c>
      <c r="E190" s="7" t="n">
        <v>9</v>
      </c>
      <c r="F190" s="7" t="n">
        <f aca="false">SUMIFS($F$2:$F181,$E$2:$E181,E190)</f>
        <v>2944899</v>
      </c>
      <c r="G190" s="7" t="n">
        <f aca="false">SUMIFS($G$2:$G181,$E$2:$E181,E190)</f>
        <v>22496</v>
      </c>
      <c r="H190" s="7" t="n">
        <f aca="false">F190-G190</f>
        <v>2922403</v>
      </c>
      <c r="I190" s="8" t="n">
        <f aca="false">G190/F190</f>
        <v>0.00763897165912991</v>
      </c>
    </row>
    <row r="191" customFormat="false" ht="15" hidden="false" customHeight="false" outlineLevel="0" collapsed="false">
      <c r="A191" s="7" t="s">
        <v>72</v>
      </c>
      <c r="B191" s="7" t="n">
        <v>2020</v>
      </c>
      <c r="C191" s="7" t="n">
        <v>10</v>
      </c>
      <c r="D191" s="7" t="s">
        <v>41</v>
      </c>
      <c r="E191" s="7" t="n">
        <v>10</v>
      </c>
      <c r="F191" s="7" t="n">
        <f aca="false">SUMIFS($F$2:$F181,$E$2:$E181,E191)</f>
        <v>2574803</v>
      </c>
      <c r="G191" s="7" t="n">
        <f aca="false">SUMIFS($G$2:$G181,$E$2:$E181,E191)</f>
        <v>26136</v>
      </c>
      <c r="H191" s="7" t="n">
        <f aca="false">F191-G191</f>
        <v>2548667</v>
      </c>
      <c r="I191" s="8" t="n">
        <f aca="false">G191/F191</f>
        <v>0.0101506794888774</v>
      </c>
    </row>
    <row r="192" customFormat="false" ht="15" hidden="false" customHeight="false" outlineLevel="0" collapsed="false">
      <c r="A192" s="7" t="s">
        <v>72</v>
      </c>
      <c r="B192" s="7" t="n">
        <v>2020</v>
      </c>
      <c r="C192" s="7" t="n">
        <v>11</v>
      </c>
      <c r="D192" s="7" t="s">
        <v>42</v>
      </c>
      <c r="E192" s="7" t="n">
        <v>11</v>
      </c>
      <c r="F192" s="7" t="n">
        <f aca="false">SUMIFS($F$2:$F181,$E$2:$E181,E192)</f>
        <v>2560547</v>
      </c>
      <c r="G192" s="7" t="n">
        <f aca="false">SUMIFS($G$2:$G181,$E$2:$E181,E192)</f>
        <v>16599</v>
      </c>
      <c r="H192" s="7" t="n">
        <f aca="false">F192-G192</f>
        <v>2543948</v>
      </c>
      <c r="I192" s="8" t="n">
        <f aca="false">G192/F192</f>
        <v>0.00648259922586854</v>
      </c>
    </row>
    <row r="193" customFormat="false" ht="15" hidden="false" customHeight="false" outlineLevel="0" collapsed="false">
      <c r="A193" s="7" t="s">
        <v>72</v>
      </c>
      <c r="B193" s="7" t="n">
        <v>2020</v>
      </c>
      <c r="C193" s="7" t="n">
        <v>12</v>
      </c>
      <c r="D193" s="7" t="s">
        <v>43</v>
      </c>
      <c r="E193" s="7" t="n">
        <v>12</v>
      </c>
      <c r="F193" s="7" t="n">
        <f aca="false">SUMIFS($F$2:$F181,$E$2:$E181,E193)</f>
        <v>3445867</v>
      </c>
      <c r="G193" s="7" t="n">
        <f aca="false">SUMIFS($G$2:$G181,$E$2:$E181,E193)</f>
        <v>15482</v>
      </c>
      <c r="H193" s="7" t="n">
        <f aca="false">F193-G193</f>
        <v>3430385</v>
      </c>
      <c r="I193" s="8" t="n">
        <f aca="false">G193/F193</f>
        <v>0.00449291861815909</v>
      </c>
    </row>
    <row r="194" customFormat="false" ht="15" hidden="false" customHeight="false" outlineLevel="0" collapsed="false">
      <c r="A194" s="7" t="s">
        <v>72</v>
      </c>
      <c r="B194" s="7" t="n">
        <v>2021</v>
      </c>
      <c r="C194" s="7" t="n">
        <v>1</v>
      </c>
      <c r="D194" s="7" t="s">
        <v>44</v>
      </c>
      <c r="E194" s="7" t="n">
        <v>13</v>
      </c>
      <c r="F194" s="7" t="n">
        <f aca="false">SUMIFS($F$2:$F181,$E$2:$E181,E194)</f>
        <v>1583647</v>
      </c>
      <c r="G194" s="7" t="n">
        <f aca="false">SUMIFS($G$2:$G181,$E$2:$E181,E194)</f>
        <v>11325</v>
      </c>
      <c r="H194" s="7" t="n">
        <f aca="false">F194-G194</f>
        <v>1572322</v>
      </c>
      <c r="I194" s="8" t="n">
        <f aca="false">G194/F194</f>
        <v>0.00715121488564055</v>
      </c>
    </row>
    <row r="195" customFormat="false" ht="15" hidden="false" customHeight="false" outlineLevel="0" collapsed="false">
      <c r="A195" s="7" t="s">
        <v>72</v>
      </c>
      <c r="B195" s="7" t="n">
        <v>2021</v>
      </c>
      <c r="C195" s="7" t="n">
        <v>2</v>
      </c>
      <c r="D195" s="7" t="s">
        <v>45</v>
      </c>
      <c r="E195" s="7" t="n">
        <v>14</v>
      </c>
      <c r="F195" s="7" t="n">
        <f aca="false">SUMIFS($F$2:$F181,$E$2:$E181,E195)</f>
        <v>1604770</v>
      </c>
      <c r="G195" s="7" t="n">
        <f aca="false">SUMIFS($G$2:$G181,$E$2:$E181,E195)</f>
        <v>14346</v>
      </c>
      <c r="H195" s="7" t="n">
        <f aca="false">F195-G195</f>
        <v>1590424</v>
      </c>
      <c r="I195" s="8" t="n">
        <f aca="false">G195/F195</f>
        <v>0.00893959882101485</v>
      </c>
    </row>
    <row r="196" customFormat="false" ht="15" hidden="false" customHeight="false" outlineLevel="0" collapsed="false">
      <c r="A196" s="7" t="s">
        <v>72</v>
      </c>
      <c r="B196" s="7" t="n">
        <v>2021</v>
      </c>
      <c r="C196" s="7" t="n">
        <v>3</v>
      </c>
      <c r="D196" s="7" t="s">
        <v>46</v>
      </c>
      <c r="E196" s="7" t="n">
        <v>15</v>
      </c>
      <c r="F196" s="7" t="n">
        <f aca="false">SUMIFS($F$2:$F181,$E$2:$E181,E196)</f>
        <v>1842473</v>
      </c>
      <c r="G196" s="7" t="n">
        <f aca="false">SUMIFS($G$2:$G181,$E$2:$E181,E196)</f>
        <v>22753</v>
      </c>
      <c r="H196" s="7" t="n">
        <f aca="false">F196-G196</f>
        <v>1819720</v>
      </c>
      <c r="I196" s="8" t="n">
        <f aca="false">G196/F196</f>
        <v>0.0123491633255955</v>
      </c>
    </row>
    <row r="197" customFormat="false" ht="15" hidden="false" customHeight="false" outlineLevel="0" collapsed="false">
      <c r="A197" s="7" t="s">
        <v>72</v>
      </c>
      <c r="B197" s="7" t="n">
        <v>2021</v>
      </c>
      <c r="C197" s="7" t="n">
        <v>4</v>
      </c>
      <c r="D197" s="7" t="s">
        <v>47</v>
      </c>
      <c r="E197" s="7" t="n">
        <v>16</v>
      </c>
      <c r="F197" s="7" t="n">
        <f aca="false">SUMIFS($F$2:$F181,$E$2:$E181,E197)</f>
        <v>2803601</v>
      </c>
      <c r="G197" s="7" t="n">
        <f aca="false">SUMIFS($G$2:$G181,$E$2:$E181,E197)</f>
        <v>23990</v>
      </c>
      <c r="H197" s="7" t="n">
        <f aca="false">F197-G197</f>
        <v>2779611</v>
      </c>
      <c r="I197" s="8" t="n">
        <f aca="false">G197/F197</f>
        <v>0.008556852419442</v>
      </c>
    </row>
    <row r="198" customFormat="false" ht="15" hidden="false" customHeight="false" outlineLevel="0" collapsed="false">
      <c r="A198" s="7" t="s">
        <v>72</v>
      </c>
      <c r="B198" s="7" t="n">
        <v>2021</v>
      </c>
      <c r="C198" s="7" t="n">
        <v>5</v>
      </c>
      <c r="D198" s="7" t="s">
        <v>48</v>
      </c>
      <c r="E198" s="7" t="n">
        <v>17</v>
      </c>
      <c r="F198" s="7" t="n">
        <f aca="false">SUMIFS($F$2:$F181,$E$2:$E181,E198)</f>
        <v>2215511</v>
      </c>
      <c r="G198" s="7" t="n">
        <f aca="false">SUMIFS($G$2:$G181,$E$2:$E181,E198)</f>
        <v>28754</v>
      </c>
      <c r="H198" s="7" t="n">
        <f aca="false">F198-G198</f>
        <v>2186757</v>
      </c>
      <c r="I198" s="8" t="n">
        <f aca="false">G198/F198</f>
        <v>0.0129784957059568</v>
      </c>
    </row>
    <row r="199" customFormat="false" ht="15" hidden="false" customHeight="false" outlineLevel="0" collapsed="false">
      <c r="A199" s="7" t="s">
        <v>72</v>
      </c>
      <c r="B199" s="7" t="n">
        <v>2021</v>
      </c>
      <c r="C199" s="7" t="n">
        <v>6</v>
      </c>
      <c r="D199" s="7" t="s">
        <v>49</v>
      </c>
      <c r="E199" s="7" t="n">
        <v>18</v>
      </c>
      <c r="F199" s="7" t="n">
        <f aca="false">SUMIFS($F$2:$F181,$E$2:$E181,E199)</f>
        <v>2225063</v>
      </c>
      <c r="G199" s="7" t="n">
        <f aca="false">SUMIFS($G$2:$G181,$E$2:$E181,E199)</f>
        <v>13341</v>
      </c>
      <c r="H199" s="7" t="n">
        <f aca="false">F199-G199</f>
        <v>2211722</v>
      </c>
      <c r="I199" s="8" t="n">
        <f aca="false">G199/F199</f>
        <v>0.00599578528787724</v>
      </c>
    </row>
    <row r="200" customFormat="false" ht="15" hidden="false" customHeight="false" outlineLevel="0" collapsed="false">
      <c r="A200" s="7" t="s">
        <v>72</v>
      </c>
      <c r="B200" s="7" t="n">
        <v>2021</v>
      </c>
      <c r="C200" s="7" t="n">
        <v>7</v>
      </c>
      <c r="D200" s="7" t="s">
        <v>50</v>
      </c>
      <c r="E200" s="7" t="n">
        <v>19</v>
      </c>
      <c r="F200" s="7" t="n">
        <f aca="false">SUMIFS($F$2:$F181,$E$2:$E181,E200)</f>
        <v>2681359</v>
      </c>
      <c r="G200" s="7" t="n">
        <f aca="false">SUMIFS($G$2:$G181,$E$2:$E181,E200)</f>
        <v>16131</v>
      </c>
      <c r="H200" s="7" t="n">
        <f aca="false">F200-G200</f>
        <v>2665228</v>
      </c>
      <c r="I200" s="8" t="n">
        <f aca="false">G200/F200</f>
        <v>0.00601597921054212</v>
      </c>
    </row>
    <row r="201" customFormat="false" ht="15" hidden="false" customHeight="false" outlineLevel="0" collapsed="false">
      <c r="A201" s="7" t="s">
        <v>72</v>
      </c>
      <c r="B201" s="7" t="n">
        <v>2021</v>
      </c>
      <c r="C201" s="7" t="n">
        <v>8</v>
      </c>
      <c r="D201" s="7" t="s">
        <v>51</v>
      </c>
      <c r="E201" s="7" t="n">
        <v>20</v>
      </c>
      <c r="F201" s="7" t="n">
        <f aca="false">SUMIFS($F$2:$F181,$E$2:$E181,E201)</f>
        <v>2415011</v>
      </c>
      <c r="G201" s="7" t="n">
        <f aca="false">SUMIFS($G$2:$G181,$E$2:$E181,E201)</f>
        <v>11080</v>
      </c>
      <c r="H201" s="7" t="n">
        <f aca="false">F201-G201</f>
        <v>2403931</v>
      </c>
      <c r="I201" s="8" t="n">
        <f aca="false">G201/F201</f>
        <v>0.00458797082083684</v>
      </c>
    </row>
    <row r="202" customFormat="false" ht="15" hidden="false" customHeight="false" outlineLevel="0" collapsed="false">
      <c r="A202" s="7" t="s">
        <v>72</v>
      </c>
      <c r="B202" s="7" t="n">
        <v>2021</v>
      </c>
      <c r="C202" s="7" t="n">
        <v>9</v>
      </c>
      <c r="D202" s="7" t="s">
        <v>52</v>
      </c>
      <c r="E202" s="7" t="n">
        <v>21</v>
      </c>
      <c r="F202" s="7" t="n">
        <f aca="false">SUMIFS($F$2:$F181,$E$2:$E181,E202)</f>
        <v>2699748</v>
      </c>
      <c r="G202" s="7" t="n">
        <f aca="false">SUMIFS($G$2:$G181,$E$2:$E181,E202)</f>
        <v>22721</v>
      </c>
      <c r="H202" s="7" t="n">
        <f aca="false">F202-G202</f>
        <v>2677027</v>
      </c>
      <c r="I202" s="8" t="n">
        <f aca="false">G202/F202</f>
        <v>0.00841597067578159</v>
      </c>
    </row>
    <row r="203" customFormat="false" ht="15" hidden="false" customHeight="false" outlineLevel="0" collapsed="false">
      <c r="A203" s="7" t="s">
        <v>72</v>
      </c>
      <c r="B203" s="7" t="n">
        <v>2021</v>
      </c>
      <c r="C203" s="7" t="n">
        <v>10</v>
      </c>
      <c r="D203" s="7" t="s">
        <v>53</v>
      </c>
      <c r="E203" s="7" t="n">
        <v>22</v>
      </c>
      <c r="F203" s="7" t="n">
        <f aca="false">SUMIFS($F$2:$F181,$E$2:$E181,E203)</f>
        <v>2116643</v>
      </c>
      <c r="G203" s="7" t="n">
        <f aca="false">SUMIFS($G$2:$G181,$E$2:$E181,E203)</f>
        <v>17821</v>
      </c>
      <c r="H203" s="7" t="n">
        <f aca="false">F203-G203</f>
        <v>2098822</v>
      </c>
      <c r="I203" s="8" t="n">
        <f aca="false">G203/F203</f>
        <v>0.00841946421763141</v>
      </c>
    </row>
    <row r="204" customFormat="false" ht="15" hidden="false" customHeight="false" outlineLevel="0" collapsed="false">
      <c r="A204" s="7" t="s">
        <v>72</v>
      </c>
      <c r="B204" s="7" t="n">
        <v>2021</v>
      </c>
      <c r="C204" s="7" t="n">
        <v>11</v>
      </c>
      <c r="D204" s="7" t="s">
        <v>54</v>
      </c>
      <c r="E204" s="7" t="n">
        <v>23</v>
      </c>
      <c r="F204" s="7" t="n">
        <f aca="false">SUMIFS($F$2:$F181,$E$2:$E181,E204)</f>
        <v>2436477</v>
      </c>
      <c r="G204" s="7" t="n">
        <f aca="false">SUMIFS($G$2:$G181,$E$2:$E181,E204)</f>
        <v>16560</v>
      </c>
      <c r="H204" s="7" t="n">
        <f aca="false">F204-G204</f>
        <v>2419917</v>
      </c>
      <c r="I204" s="8" t="n">
        <f aca="false">G204/F204</f>
        <v>0.00679669867599817</v>
      </c>
    </row>
    <row r="205" customFormat="false" ht="15" hidden="false" customHeight="false" outlineLevel="0" collapsed="false">
      <c r="A205" s="7" t="s">
        <v>72</v>
      </c>
      <c r="B205" s="7" t="n">
        <v>2021</v>
      </c>
      <c r="C205" s="7" t="n">
        <v>12</v>
      </c>
      <c r="D205" s="7" t="s">
        <v>55</v>
      </c>
      <c r="E205" s="7" t="n">
        <v>24</v>
      </c>
      <c r="F205" s="7" t="n">
        <f aca="false">SUMIFS($F$2:$F181,$E$2:$E181,E205)</f>
        <v>2234435</v>
      </c>
      <c r="G205" s="7" t="n">
        <f aca="false">SUMIFS($G$2:$G181,$E$2:$E181,E205)</f>
        <v>15717</v>
      </c>
      <c r="H205" s="7" t="n">
        <f aca="false">F205-G205</f>
        <v>2218718</v>
      </c>
      <c r="I205" s="8" t="n">
        <f aca="false">G205/F205</f>
        <v>0.00703399293333662</v>
      </c>
    </row>
    <row r="206" customFormat="false" ht="15" hidden="false" customHeight="false" outlineLevel="0" collapsed="false">
      <c r="A206" s="7" t="s">
        <v>72</v>
      </c>
      <c r="B206" s="7" t="n">
        <v>2022</v>
      </c>
      <c r="C206" s="7" t="n">
        <v>1</v>
      </c>
      <c r="D206" s="7" t="s">
        <v>56</v>
      </c>
      <c r="E206" s="7" t="n">
        <v>25</v>
      </c>
      <c r="F206" s="7" t="n">
        <f aca="false">SUMIFS($F$2:$F181,$E$2:$E181,E206)</f>
        <v>2334961</v>
      </c>
      <c r="G206" s="7" t="n">
        <f aca="false">SUMIFS($G$2:$G181,$E$2:$E181,E206)</f>
        <v>13998</v>
      </c>
      <c r="H206" s="7" t="n">
        <f aca="false">F206-G206</f>
        <v>2320963</v>
      </c>
      <c r="I206" s="8" t="n">
        <f aca="false">G206/F206</f>
        <v>0.00599496094367315</v>
      </c>
    </row>
    <row r="207" customFormat="false" ht="15" hidden="false" customHeight="false" outlineLevel="0" collapsed="false">
      <c r="A207" s="7" t="s">
        <v>72</v>
      </c>
      <c r="B207" s="7" t="n">
        <v>2022</v>
      </c>
      <c r="C207" s="7" t="n">
        <v>2</v>
      </c>
      <c r="D207" s="7" t="s">
        <v>57</v>
      </c>
      <c r="E207" s="7" t="n">
        <v>26</v>
      </c>
      <c r="F207" s="7" t="n">
        <f aca="false">SUMIFS($F$2:$F181,$E$2:$E181,E207)</f>
        <v>2389843</v>
      </c>
      <c r="G207" s="7" t="n">
        <f aca="false">SUMIFS($G$2:$G181,$E$2:$E181,E207)</f>
        <v>11439</v>
      </c>
      <c r="H207" s="7" t="n">
        <f aca="false">F207-G207</f>
        <v>2378404</v>
      </c>
      <c r="I207" s="8" t="n">
        <f aca="false">G207/F207</f>
        <v>0.0047865068960597</v>
      </c>
    </row>
    <row r="208" customFormat="false" ht="15" hidden="false" customHeight="false" outlineLevel="0" collapsed="false">
      <c r="A208" s="7" t="s">
        <v>72</v>
      </c>
      <c r="B208" s="7" t="n">
        <v>2022</v>
      </c>
      <c r="C208" s="7" t="n">
        <v>3</v>
      </c>
      <c r="D208" s="7" t="s">
        <v>58</v>
      </c>
      <c r="E208" s="7" t="n">
        <v>27</v>
      </c>
      <c r="F208" s="7" t="n">
        <f aca="false">SUMIFS($F$2:$F181,$E$2:$E181,E208)</f>
        <v>3487480</v>
      </c>
      <c r="G208" s="7" t="n">
        <f aca="false">SUMIFS($G$2:$G181,$E$2:$E181,E208)</f>
        <v>20627</v>
      </c>
      <c r="H208" s="7" t="n">
        <f aca="false">F208-G208</f>
        <v>3466853</v>
      </c>
      <c r="I208" s="8" t="n">
        <f aca="false">G208/F208</f>
        <v>0.00591458589009829</v>
      </c>
    </row>
    <row r="209" customFormat="false" ht="15" hidden="false" customHeight="false" outlineLevel="0" collapsed="false">
      <c r="A209" s="7" t="s">
        <v>72</v>
      </c>
      <c r="B209" s="7" t="n">
        <v>2022</v>
      </c>
      <c r="C209" s="7" t="n">
        <v>4</v>
      </c>
      <c r="D209" s="7" t="s">
        <v>59</v>
      </c>
      <c r="E209" s="7" t="n">
        <v>28</v>
      </c>
      <c r="F209" s="7" t="n">
        <f aca="false">SUMIFS($F$2:$F181,$E$2:$E181,E209)</f>
        <v>3749926</v>
      </c>
      <c r="G209" s="7" t="n">
        <f aca="false">SUMIFS($G$2:$G181,$E$2:$E181,E209)</f>
        <v>18754</v>
      </c>
      <c r="H209" s="7" t="n">
        <f aca="false">F209-G209</f>
        <v>3731172</v>
      </c>
      <c r="I209" s="8" t="n">
        <f aca="false">G209/F209</f>
        <v>0.0050011653563297</v>
      </c>
    </row>
    <row r="210" customFormat="false" ht="15" hidden="false" customHeight="false" outlineLevel="0" collapsed="false">
      <c r="A210" s="7" t="s">
        <v>72</v>
      </c>
      <c r="B210" s="7" t="n">
        <v>2022</v>
      </c>
      <c r="C210" s="7" t="n">
        <v>5</v>
      </c>
      <c r="D210" s="7" t="s">
        <v>60</v>
      </c>
      <c r="E210" s="7" t="n">
        <v>29</v>
      </c>
      <c r="F210" s="7" t="n">
        <f aca="false">SUMIFS($F$2:$F181,$E$2:$E181,E210)</f>
        <v>4403892</v>
      </c>
      <c r="G210" s="7" t="n">
        <f aca="false">SUMIFS($G$2:$G181,$E$2:$E181,E210)</f>
        <v>36207</v>
      </c>
      <c r="H210" s="7" t="n">
        <f aca="false">F210-G210</f>
        <v>4367685</v>
      </c>
      <c r="I210" s="8" t="n">
        <f aca="false">G210/F210</f>
        <v>0.00822159126518089</v>
      </c>
    </row>
    <row r="211" customFormat="false" ht="15" hidden="false" customHeight="false" outlineLevel="0" collapsed="false">
      <c r="A211" s="7" t="s">
        <v>72</v>
      </c>
      <c r="B211" s="7" t="n">
        <v>2022</v>
      </c>
      <c r="C211" s="7" t="n">
        <v>6</v>
      </c>
      <c r="D211" s="7" t="s">
        <v>61</v>
      </c>
      <c r="E211" s="7" t="n">
        <v>30</v>
      </c>
      <c r="F211" s="7" t="n">
        <f aca="false">SUMIFS($F$2:$F181,$E$2:$E181,E211)</f>
        <v>3722455</v>
      </c>
      <c r="G211" s="7" t="n">
        <f aca="false">SUMIFS($G$2:$G181,$E$2:$E181,E211)</f>
        <v>15608</v>
      </c>
      <c r="H211" s="7" t="n">
        <f aca="false">F211-G211</f>
        <v>3706847</v>
      </c>
      <c r="I211" s="8" t="n">
        <f aca="false">G211/F211</f>
        <v>0.00419293181515962</v>
      </c>
    </row>
    <row r="212" customFormat="false" ht="15" hidden="false" customHeight="false" outlineLevel="0" collapsed="false">
      <c r="A212" s="7" t="s">
        <v>72</v>
      </c>
      <c r="B212" s="7" t="n">
        <v>2022</v>
      </c>
      <c r="C212" s="7" t="n">
        <v>7</v>
      </c>
      <c r="D212" s="7" t="s">
        <v>62</v>
      </c>
      <c r="E212" s="7" t="n">
        <v>31</v>
      </c>
      <c r="F212" s="7" t="n">
        <f aca="false">SUMIFS($F$2:$F181,$E$2:$E181,E212)</f>
        <v>4272985</v>
      </c>
      <c r="G212" s="7" t="n">
        <f aca="false">SUMIFS($G$2:$G181,$E$2:$E181,E212)</f>
        <v>17853</v>
      </c>
      <c r="H212" s="7" t="n">
        <f aca="false">F212-G212</f>
        <v>4255132</v>
      </c>
      <c r="I212" s="8" t="n">
        <f aca="false">G212/F212</f>
        <v>0.00417810968210747</v>
      </c>
    </row>
    <row r="213" customFormat="false" ht="15" hidden="false" customHeight="false" outlineLevel="0" collapsed="false">
      <c r="A213" s="7" t="s">
        <v>72</v>
      </c>
      <c r="B213" s="7" t="n">
        <v>2022</v>
      </c>
      <c r="C213" s="7" t="n">
        <v>8</v>
      </c>
      <c r="D213" s="7" t="s">
        <v>63</v>
      </c>
      <c r="E213" s="7" t="n">
        <v>32</v>
      </c>
      <c r="F213" s="7" t="n">
        <f aca="false">SUMIFS($F$2:$F181,$E$2:$E181,E213)</f>
        <v>3193018</v>
      </c>
      <c r="G213" s="7" t="n">
        <f aca="false">SUMIFS($G$2:$G181,$E$2:$E181,E213)</f>
        <v>28128</v>
      </c>
      <c r="H213" s="7" t="n">
        <f aca="false">F213-G213</f>
        <v>3164890</v>
      </c>
      <c r="I213" s="8" t="n">
        <f aca="false">G213/F213</f>
        <v>0.00880922061823642</v>
      </c>
    </row>
    <row r="214" customFormat="false" ht="15" hidden="false" customHeight="false" outlineLevel="0" collapsed="false">
      <c r="A214" s="7" t="s">
        <v>72</v>
      </c>
      <c r="B214" s="7" t="n">
        <v>2022</v>
      </c>
      <c r="C214" s="7" t="n">
        <v>9</v>
      </c>
      <c r="D214" s="7" t="s">
        <v>64</v>
      </c>
      <c r="E214" s="7" t="n">
        <v>33</v>
      </c>
      <c r="F214" s="7" t="n">
        <f aca="false">SUMIFS($F$2:$F181,$E$2:$E181,E214)</f>
        <v>3913519</v>
      </c>
      <c r="G214" s="7" t="n">
        <f aca="false">SUMIFS($G$2:$G181,$E$2:$E181,E214)</f>
        <v>23823</v>
      </c>
      <c r="H214" s="7" t="n">
        <f aca="false">F214-G214</f>
        <v>3889696</v>
      </c>
      <c r="I214" s="8" t="n">
        <f aca="false">G214/F214</f>
        <v>0.0060873602504549</v>
      </c>
    </row>
    <row r="215" customFormat="false" ht="15" hidden="false" customHeight="false" outlineLevel="0" collapsed="false">
      <c r="A215" s="7" t="s">
        <v>72</v>
      </c>
      <c r="B215" s="7" t="n">
        <v>2022</v>
      </c>
      <c r="C215" s="7" t="n">
        <v>10</v>
      </c>
      <c r="D215" s="7" t="s">
        <v>65</v>
      </c>
      <c r="E215" s="7" t="n">
        <v>34</v>
      </c>
      <c r="F215" s="7" t="n">
        <f aca="false">SUMIFS($F$2:$F181,$E$2:$E181,E215)</f>
        <v>3165477</v>
      </c>
      <c r="G215" s="7" t="n">
        <f aca="false">SUMIFS($G$2:$G181,$E$2:$E181,E215)</f>
        <v>30644</v>
      </c>
      <c r="H215" s="7" t="n">
        <f aca="false">F215-G215</f>
        <v>3134833</v>
      </c>
      <c r="I215" s="8" t="n">
        <f aca="false">G215/F215</f>
        <v>0.00968068951377628</v>
      </c>
    </row>
    <row r="216" customFormat="false" ht="15" hidden="false" customHeight="false" outlineLevel="0" collapsed="false">
      <c r="A216" s="7" t="s">
        <v>72</v>
      </c>
      <c r="B216" s="7" t="n">
        <v>2022</v>
      </c>
      <c r="C216" s="7" t="n">
        <v>11</v>
      </c>
      <c r="D216" s="7" t="s">
        <v>66</v>
      </c>
      <c r="E216" s="7" t="n">
        <v>35</v>
      </c>
      <c r="F216" s="7" t="n">
        <f aca="false">SUMIFS($F$2:$F181,$E$2:$E181,E216)</f>
        <v>3317991</v>
      </c>
      <c r="G216" s="7" t="n">
        <f aca="false">SUMIFS($G$2:$G181,$E$2:$E181,E216)</f>
        <v>7700</v>
      </c>
      <c r="H216" s="7" t="n">
        <f aca="false">F216-G216</f>
        <v>3310291</v>
      </c>
      <c r="I216" s="8" t="n">
        <f aca="false">G216/F216</f>
        <v>0.00232068140028107</v>
      </c>
    </row>
    <row r="217" customFormat="false" ht="15" hidden="false" customHeight="false" outlineLevel="0" collapsed="false">
      <c r="A217" s="7" t="s">
        <v>72</v>
      </c>
      <c r="B217" s="7" t="n">
        <v>2022</v>
      </c>
      <c r="C217" s="7" t="n">
        <v>12</v>
      </c>
      <c r="D217" s="7" t="s">
        <v>67</v>
      </c>
      <c r="E217" s="7" t="n">
        <v>36</v>
      </c>
      <c r="F217" s="7" t="n">
        <f aca="false">SUMIFS($F$2:$F181,$E$2:$E181,E217)</f>
        <v>4286506</v>
      </c>
      <c r="G217" s="7" t="n">
        <f aca="false">SUMIFS($G$2:$G181,$E$2:$E181,E217)</f>
        <v>16374</v>
      </c>
      <c r="H217" s="7" t="n">
        <f aca="false">F217-G217</f>
        <v>4270132</v>
      </c>
      <c r="I217" s="8" t="n">
        <f aca="false">G217/F217</f>
        <v>0.00381989433818593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8" min="7" style="0" width="4"/>
    <col collapsed="false" customWidth="true" hidden="false" outlineLevel="0" max="10" min="9" style="0" width="14"/>
  </cols>
  <sheetData>
    <row r="2" customFormat="false" ht="19.7" hidden="false" customHeight="false" outlineLevel="0" collapsed="false">
      <c r="B2" s="1" t="s">
        <v>73</v>
      </c>
    </row>
    <row r="3" customFormat="false" ht="31.5" hidden="false" customHeight="true" outlineLevel="0" collapsed="false">
      <c r="B3" s="5" t="s">
        <v>74</v>
      </c>
      <c r="C3" s="5"/>
      <c r="D3" s="5"/>
      <c r="E3" s="5"/>
      <c r="F3" s="5"/>
      <c r="G3" s="5"/>
    </row>
    <row r="4" customFormat="false" ht="15" hidden="false" customHeight="false" outlineLevel="0" collapsed="false">
      <c r="I4" s="4" t="s">
        <v>75</v>
      </c>
    </row>
    <row r="5" customFormat="false" ht="15" hidden="false" customHeight="false" outlineLevel="0" collapsed="false">
      <c r="B5" s="6" t="s">
        <v>24</v>
      </c>
      <c r="C5" s="6" t="s">
        <v>26</v>
      </c>
      <c r="D5" s="6" t="s">
        <v>76</v>
      </c>
      <c r="E5" s="6" t="s">
        <v>77</v>
      </c>
      <c r="F5" s="6" t="s">
        <v>78</v>
      </c>
      <c r="I5" s="9" t="s">
        <v>79</v>
      </c>
      <c r="J5" s="10" t="n">
        <f aca="false">SLOPE(D6:D41,C6:C41)</f>
        <v>2379.22432432432</v>
      </c>
    </row>
    <row r="6" customFormat="false" ht="15" hidden="false" customHeight="false" outlineLevel="0" collapsed="false">
      <c r="B6" s="7" t="str">
        <f aca="false">'Monthly Data'!D2</f>
        <v>Jan-20</v>
      </c>
      <c r="C6" s="7" t="n">
        <f aca="false">'Monthly Data'!E2</f>
        <v>1</v>
      </c>
      <c r="D6" s="11" t="n">
        <f aca="false">'Monthly Data'!F2</f>
        <v>732234</v>
      </c>
      <c r="E6" s="11"/>
      <c r="F6" s="11" t="n">
        <f aca="false">$J$6+$J$5*C6</f>
        <v>908573.602102102</v>
      </c>
      <c r="I6" s="9" t="s">
        <v>80</v>
      </c>
      <c r="J6" s="10" t="n">
        <f aca="false">INTERCEPT(D6:D41,C6:C41)</f>
        <v>906194.377777778</v>
      </c>
    </row>
    <row r="7" customFormat="false" ht="15" hidden="false" customHeight="false" outlineLevel="0" collapsed="false">
      <c r="B7" s="7" t="str">
        <f aca="false">'Monthly Data'!D3</f>
        <v>Feb-20</v>
      </c>
      <c r="C7" s="7" t="n">
        <f aca="false">'Monthly Data'!E3</f>
        <v>2</v>
      </c>
      <c r="D7" s="11" t="n">
        <f aca="false">'Monthly Data'!F3</f>
        <v>639999</v>
      </c>
      <c r="E7" s="11"/>
      <c r="F7" s="11" t="n">
        <f aca="false">$J$6+$J$5*C7</f>
        <v>910952.826426426</v>
      </c>
      <c r="I7" s="9" t="s">
        <v>81</v>
      </c>
      <c r="J7" s="12" t="n">
        <f aca="false">RSQ(D6:D41,C6:C41)</f>
        <v>0.00288014320666747</v>
      </c>
    </row>
    <row r="8" customFormat="false" ht="15" hidden="false" customHeight="false" outlineLevel="0" collapsed="false">
      <c r="B8" s="7" t="str">
        <f aca="false">'Monthly Data'!D4</f>
        <v>Mar-20</v>
      </c>
      <c r="C8" s="7" t="n">
        <f aca="false">'Monthly Data'!E4</f>
        <v>3</v>
      </c>
      <c r="D8" s="11" t="n">
        <f aca="false">'Monthly Data'!F4</f>
        <v>1289369</v>
      </c>
      <c r="E8" s="11" t="n">
        <f aca="false">(1*D6+2*D7+3*D8)/6</f>
        <v>980056.5</v>
      </c>
      <c r="F8" s="11" t="n">
        <f aca="false">$J$6+$J$5*C8</f>
        <v>913332.050750751</v>
      </c>
      <c r="I8" s="9" t="s">
        <v>82</v>
      </c>
      <c r="J8" s="13" t="n">
        <f aca="false">AVERAGE('Monthly Data'!I2:I37)</f>
        <v>0.0107296324643048</v>
      </c>
    </row>
    <row r="9" customFormat="false" ht="15" hidden="false" customHeight="false" outlineLevel="0" collapsed="false">
      <c r="B9" s="7" t="str">
        <f aca="false">'Monthly Data'!D5</f>
        <v>Apr-20</v>
      </c>
      <c r="C9" s="7" t="n">
        <f aca="false">'Monthly Data'!E5</f>
        <v>4</v>
      </c>
      <c r="D9" s="11" t="n">
        <f aca="false">'Monthly Data'!F5</f>
        <v>789213</v>
      </c>
      <c r="E9" s="11" t="n">
        <f aca="false">(1*D7+2*D8+3*D9)/6</f>
        <v>931062.666666667</v>
      </c>
      <c r="F9" s="11" t="n">
        <f aca="false">$J$6+$J$5*C9</f>
        <v>915711.275075075</v>
      </c>
    </row>
    <row r="10" customFormat="false" ht="15" hidden="false" customHeight="false" outlineLevel="0" collapsed="false">
      <c r="B10" s="7" t="str">
        <f aca="false">'Monthly Data'!D6</f>
        <v>May-20</v>
      </c>
      <c r="C10" s="7" t="n">
        <f aca="false">'Monthly Data'!E6</f>
        <v>5</v>
      </c>
      <c r="D10" s="11" t="n">
        <f aca="false">'Monthly Data'!F6</f>
        <v>1558639</v>
      </c>
      <c r="E10" s="11" t="n">
        <f aca="false">(1*D8+2*D9+3*D10)/6</f>
        <v>1257285.33333333</v>
      </c>
      <c r="F10" s="11" t="n">
        <f aca="false">$J$6+$J$5*C10</f>
        <v>918090.499399399</v>
      </c>
    </row>
    <row r="11" customFormat="false" ht="15" hidden="false" customHeight="false" outlineLevel="0" collapsed="false">
      <c r="B11" s="7" t="str">
        <f aca="false">'Monthly Data'!D7</f>
        <v>Jun-20</v>
      </c>
      <c r="C11" s="7" t="n">
        <f aca="false">'Monthly Data'!E7</f>
        <v>6</v>
      </c>
      <c r="D11" s="11" t="n">
        <f aca="false">'Monthly Data'!F7</f>
        <v>1758963</v>
      </c>
      <c r="E11" s="11" t="n">
        <f aca="false">(1*D9+2*D10+3*D11)/6</f>
        <v>1530563.33333333</v>
      </c>
      <c r="F11" s="11" t="n">
        <f aca="false">$J$6+$J$5*C11</f>
        <v>920469.723723724</v>
      </c>
    </row>
    <row r="12" customFormat="false" ht="15" hidden="false" customHeight="false" outlineLevel="0" collapsed="false">
      <c r="B12" s="7" t="str">
        <f aca="false">'Monthly Data'!D8</f>
        <v>Jul-20</v>
      </c>
      <c r="C12" s="7" t="n">
        <f aca="false">'Monthly Data'!E8</f>
        <v>7</v>
      </c>
      <c r="D12" s="11" t="n">
        <f aca="false">'Monthly Data'!F8</f>
        <v>1289236</v>
      </c>
      <c r="E12" s="11" t="n">
        <f aca="false">(1*D10+2*D11+3*D12)/6</f>
        <v>1490712.16666667</v>
      </c>
      <c r="F12" s="11" t="n">
        <f aca="false">$J$6+$J$5*C12</f>
        <v>922848.948048048</v>
      </c>
    </row>
    <row r="13" customFormat="false" ht="15" hidden="false" customHeight="false" outlineLevel="0" collapsed="false">
      <c r="B13" s="7" t="str">
        <f aca="false">'Monthly Data'!D9</f>
        <v>Aug-20</v>
      </c>
      <c r="C13" s="7" t="n">
        <f aca="false">'Monthly Data'!E9</f>
        <v>8</v>
      </c>
      <c r="D13" s="11" t="n">
        <f aca="false">'Monthly Data'!F9</f>
        <v>989236</v>
      </c>
      <c r="E13" s="11" t="n">
        <f aca="false">(1*D11+2*D12+3*D13)/6</f>
        <v>1217523.83333333</v>
      </c>
      <c r="F13" s="11" t="n">
        <f aca="false">$J$6+$J$5*C13</f>
        <v>925228.172372372</v>
      </c>
    </row>
    <row r="14" customFormat="false" ht="15" hidden="false" customHeight="false" outlineLevel="0" collapsed="false">
      <c r="B14" s="7" t="str">
        <f aca="false">'Monthly Data'!D10</f>
        <v>Sep-20</v>
      </c>
      <c r="C14" s="7" t="n">
        <f aca="false">'Monthly Data'!E10</f>
        <v>9</v>
      </c>
      <c r="D14" s="11" t="n">
        <f aca="false">'Monthly Data'!F10</f>
        <v>653896</v>
      </c>
      <c r="E14" s="11" t="n">
        <f aca="false">(1*D12+2*D13+3*D14)/6</f>
        <v>871566</v>
      </c>
      <c r="F14" s="11" t="n">
        <f aca="false">$J$6+$J$5*C14</f>
        <v>927607.396696697</v>
      </c>
    </row>
    <row r="15" customFormat="false" ht="15" hidden="false" customHeight="false" outlineLevel="0" collapsed="false">
      <c r="B15" s="7" t="str">
        <f aca="false">'Monthly Data'!D11</f>
        <v>Oct-20</v>
      </c>
      <c r="C15" s="7" t="n">
        <f aca="false">'Monthly Data'!E11</f>
        <v>10</v>
      </c>
      <c r="D15" s="11" t="n">
        <f aca="false">'Monthly Data'!F11</f>
        <v>474700</v>
      </c>
      <c r="E15" s="11" t="n">
        <f aca="false">(1*D13+2*D14+3*D15)/6</f>
        <v>620188</v>
      </c>
      <c r="F15" s="11" t="n">
        <f aca="false">$J$6+$J$5*C15</f>
        <v>929986.621021021</v>
      </c>
    </row>
    <row r="16" customFormat="false" ht="15" hidden="false" customHeight="false" outlineLevel="0" collapsed="false">
      <c r="B16" s="7" t="str">
        <f aca="false">'Monthly Data'!D12</f>
        <v>Nov-20</v>
      </c>
      <c r="C16" s="7" t="n">
        <f aca="false">'Monthly Data'!E12</f>
        <v>11</v>
      </c>
      <c r="D16" s="11" t="n">
        <f aca="false">'Monthly Data'!F12</f>
        <v>396200</v>
      </c>
      <c r="E16" s="11" t="n">
        <f aca="false">(1*D14+2*D15+3*D16)/6</f>
        <v>465316</v>
      </c>
      <c r="F16" s="11" t="n">
        <f aca="false">$J$6+$J$5*C16</f>
        <v>932365.845345345</v>
      </c>
    </row>
    <row r="17" customFormat="false" ht="15" hidden="false" customHeight="false" outlineLevel="0" collapsed="false">
      <c r="B17" s="7" t="str">
        <f aca="false">'Monthly Data'!D13</f>
        <v>Dec-20</v>
      </c>
      <c r="C17" s="7" t="n">
        <f aca="false">'Monthly Data'!E13</f>
        <v>12</v>
      </c>
      <c r="D17" s="11" t="n">
        <f aca="false">'Monthly Data'!F13</f>
        <v>823963</v>
      </c>
      <c r="E17" s="11" t="n">
        <f aca="false">(1*D15+2*D16+3*D17)/6</f>
        <v>623164.833333333</v>
      </c>
      <c r="F17" s="11" t="n">
        <f aca="false">$J$6+$J$5*C17</f>
        <v>934745.06966967</v>
      </c>
    </row>
    <row r="18" customFormat="false" ht="15" hidden="false" customHeight="false" outlineLevel="0" collapsed="false">
      <c r="B18" s="7" t="str">
        <f aca="false">'Monthly Data'!D14</f>
        <v>Jan-21</v>
      </c>
      <c r="C18" s="7" t="n">
        <f aca="false">'Monthly Data'!E14</f>
        <v>13</v>
      </c>
      <c r="D18" s="11" t="n">
        <f aca="false">'Monthly Data'!F14</f>
        <v>526563</v>
      </c>
      <c r="E18" s="11" t="n">
        <f aca="false">(1*D16+2*D17+3*D18)/6</f>
        <v>603969.166666667</v>
      </c>
      <c r="F18" s="11" t="n">
        <f aca="false">$J$6+$J$5*C18</f>
        <v>937124.293993994</v>
      </c>
    </row>
    <row r="19" customFormat="false" ht="15" hidden="false" customHeight="false" outlineLevel="0" collapsed="false">
      <c r="B19" s="7" t="str">
        <f aca="false">'Monthly Data'!D15</f>
        <v>Feb-21</v>
      </c>
      <c r="C19" s="7" t="n">
        <f aca="false">'Monthly Data'!E15</f>
        <v>14</v>
      </c>
      <c r="D19" s="11" t="n">
        <f aca="false">'Monthly Data'!F15</f>
        <v>485636</v>
      </c>
      <c r="E19" s="11" t="n">
        <f aca="false">(1*D17+2*D18+3*D19)/6</f>
        <v>555666.166666667</v>
      </c>
      <c r="F19" s="11" t="n">
        <f aca="false">$J$6+$J$5*C19</f>
        <v>939503.518318318</v>
      </c>
    </row>
    <row r="20" customFormat="false" ht="15" hidden="false" customHeight="false" outlineLevel="0" collapsed="false">
      <c r="B20" s="7" t="str">
        <f aca="false">'Monthly Data'!D16</f>
        <v>Mar-21</v>
      </c>
      <c r="C20" s="7" t="n">
        <f aca="false">'Monthly Data'!E16</f>
        <v>15</v>
      </c>
      <c r="D20" s="11" t="n">
        <f aca="false">'Monthly Data'!F16</f>
        <v>589187</v>
      </c>
      <c r="E20" s="11" t="n">
        <f aca="false">(1*D18+2*D19+3*D20)/6</f>
        <v>544232.666666667</v>
      </c>
      <c r="F20" s="11" t="n">
        <f aca="false">$J$6+$J$5*C20</f>
        <v>941882.742642643</v>
      </c>
    </row>
    <row r="21" customFormat="false" ht="15" hidden="false" customHeight="false" outlineLevel="0" collapsed="false">
      <c r="B21" s="7" t="str">
        <f aca="false">'Monthly Data'!D17</f>
        <v>Apr-21</v>
      </c>
      <c r="C21" s="7" t="n">
        <f aca="false">'Monthly Data'!E17</f>
        <v>16</v>
      </c>
      <c r="D21" s="11" t="n">
        <f aca="false">'Monthly Data'!F17</f>
        <v>1589634</v>
      </c>
      <c r="E21" s="11" t="n">
        <f aca="false">(1*D19+2*D20+3*D21)/6</f>
        <v>1072152</v>
      </c>
      <c r="F21" s="11" t="n">
        <f aca="false">$J$6+$J$5*C21</f>
        <v>944261.966966967</v>
      </c>
    </row>
    <row r="22" customFormat="false" ht="15" hidden="false" customHeight="false" outlineLevel="0" collapsed="false">
      <c r="B22" s="7" t="str">
        <f aca="false">'Monthly Data'!D18</f>
        <v>May-21</v>
      </c>
      <c r="C22" s="7" t="n">
        <f aca="false">'Monthly Data'!E18</f>
        <v>17</v>
      </c>
      <c r="D22" s="11" t="n">
        <f aca="false">'Monthly Data'!F18</f>
        <v>953569</v>
      </c>
      <c r="E22" s="11" t="n">
        <f aca="false">(1*D20+2*D21+3*D22)/6</f>
        <v>1104860.33333333</v>
      </c>
      <c r="F22" s="11" t="n">
        <f aca="false">$J$6+$J$5*C22</f>
        <v>946641.191291291</v>
      </c>
    </row>
    <row r="23" customFormat="false" ht="15" hidden="false" customHeight="false" outlineLevel="0" collapsed="false">
      <c r="B23" s="7" t="str">
        <f aca="false">'Monthly Data'!D19</f>
        <v>Jun-21</v>
      </c>
      <c r="C23" s="7" t="n">
        <f aca="false">'Monthly Data'!E19</f>
        <v>18</v>
      </c>
      <c r="D23" s="11" t="n">
        <f aca="false">'Monthly Data'!F19</f>
        <v>689124</v>
      </c>
      <c r="E23" s="11" t="n">
        <f aca="false">(1*D21+2*D22+3*D23)/6</f>
        <v>927357.333333333</v>
      </c>
      <c r="F23" s="11" t="n">
        <f aca="false">$J$6+$J$5*C23</f>
        <v>949020.415615616</v>
      </c>
    </row>
    <row r="24" customFormat="false" ht="15" hidden="false" customHeight="false" outlineLevel="0" collapsed="false">
      <c r="B24" s="7" t="str">
        <f aca="false">'Monthly Data'!D20</f>
        <v>Jul-21</v>
      </c>
      <c r="C24" s="7" t="n">
        <f aca="false">'Monthly Data'!E20</f>
        <v>19</v>
      </c>
      <c r="D24" s="11" t="n">
        <f aca="false">'Monthly Data'!F20</f>
        <v>1289235</v>
      </c>
      <c r="E24" s="11" t="n">
        <f aca="false">(1*D22+2*D23+3*D24)/6</f>
        <v>1033253.66666667</v>
      </c>
      <c r="F24" s="11" t="n">
        <f aca="false">$J$6+$J$5*C24</f>
        <v>951399.63993994</v>
      </c>
    </row>
    <row r="25" customFormat="false" ht="15" hidden="false" customHeight="false" outlineLevel="0" collapsed="false">
      <c r="B25" s="7" t="str">
        <f aca="false">'Monthly Data'!D21</f>
        <v>Aug-21</v>
      </c>
      <c r="C25" s="7" t="n">
        <f aca="false">'Monthly Data'!E21</f>
        <v>20</v>
      </c>
      <c r="D25" s="11" t="n">
        <f aca="false">'Monthly Data'!F21</f>
        <v>958521</v>
      </c>
      <c r="E25" s="11" t="n">
        <f aca="false">(1*D23+2*D24+3*D25)/6</f>
        <v>1023859.5</v>
      </c>
      <c r="F25" s="11" t="n">
        <f aca="false">$J$6+$J$5*C25</f>
        <v>953778.864264264</v>
      </c>
    </row>
    <row r="26" customFormat="false" ht="15" hidden="false" customHeight="false" outlineLevel="0" collapsed="false">
      <c r="B26" s="7" t="str">
        <f aca="false">'Monthly Data'!D22</f>
        <v>Sep-21</v>
      </c>
      <c r="C26" s="7" t="n">
        <f aca="false">'Monthly Data'!E22</f>
        <v>21</v>
      </c>
      <c r="D26" s="11" t="n">
        <f aca="false">'Monthly Data'!F22</f>
        <v>1058741</v>
      </c>
      <c r="E26" s="11" t="n">
        <f aca="false">(1*D24+2*D25+3*D26)/6</f>
        <v>1063750</v>
      </c>
      <c r="F26" s="11" t="n">
        <f aca="false">$J$6+$J$5*C26</f>
        <v>956158.088588589</v>
      </c>
    </row>
    <row r="27" customFormat="false" ht="15" hidden="false" customHeight="false" outlineLevel="0" collapsed="false">
      <c r="B27" s="7" t="str">
        <f aca="false">'Monthly Data'!D23</f>
        <v>Oct-21</v>
      </c>
      <c r="C27" s="7" t="n">
        <f aca="false">'Monthly Data'!E23</f>
        <v>22</v>
      </c>
      <c r="D27" s="11" t="n">
        <f aca="false">'Monthly Data'!F23</f>
        <v>552325</v>
      </c>
      <c r="E27" s="11" t="n">
        <f aca="false">(1*D25+2*D26+3*D27)/6</f>
        <v>788829.666666667</v>
      </c>
      <c r="F27" s="11" t="n">
        <f aca="false">$J$6+$J$5*C27</f>
        <v>958537.312912913</v>
      </c>
    </row>
    <row r="28" customFormat="false" ht="15" hidden="false" customHeight="false" outlineLevel="0" collapsed="false">
      <c r="B28" s="7" t="str">
        <f aca="false">'Monthly Data'!D24</f>
        <v>Nov-21</v>
      </c>
      <c r="C28" s="7" t="n">
        <f aca="false">'Monthly Data'!E24</f>
        <v>23</v>
      </c>
      <c r="D28" s="11" t="n">
        <f aca="false">'Monthly Data'!F24</f>
        <v>820100</v>
      </c>
      <c r="E28" s="11" t="n">
        <f aca="false">(1*D26+2*D27+3*D28)/6</f>
        <v>770615.166666667</v>
      </c>
      <c r="F28" s="11" t="n">
        <f aca="false">$J$6+$J$5*C28</f>
        <v>960916.537237237</v>
      </c>
    </row>
    <row r="29" customFormat="false" ht="15" hidden="false" customHeight="false" outlineLevel="0" collapsed="false">
      <c r="B29" s="7" t="str">
        <f aca="false">'Monthly Data'!D25</f>
        <v>Dec-21</v>
      </c>
      <c r="C29" s="7" t="n">
        <f aca="false">'Monthly Data'!E25</f>
        <v>24</v>
      </c>
      <c r="D29" s="11" t="n">
        <f aca="false">'Monthly Data'!F25</f>
        <v>256963</v>
      </c>
      <c r="E29" s="11" t="n">
        <f aca="false">(1*D27+2*D28+3*D29)/6</f>
        <v>493902.333333333</v>
      </c>
      <c r="F29" s="11" t="n">
        <f aca="false">$J$6+$J$5*C29</f>
        <v>963295.761561562</v>
      </c>
    </row>
    <row r="30" customFormat="false" ht="15" hidden="false" customHeight="false" outlineLevel="0" collapsed="false">
      <c r="B30" s="7" t="str">
        <f aca="false">'Monthly Data'!D26</f>
        <v>Jan-22</v>
      </c>
      <c r="C30" s="7" t="n">
        <f aca="false">'Monthly Data'!E26</f>
        <v>25</v>
      </c>
      <c r="D30" s="11" t="n">
        <f aca="false">'Monthly Data'!F26</f>
        <v>658896</v>
      </c>
      <c r="E30" s="11" t="n">
        <f aca="false">(1*D28+2*D29+3*D30)/6</f>
        <v>551785.666666667</v>
      </c>
      <c r="F30" s="11" t="n">
        <f aca="false">$J$6+$J$5*C30</f>
        <v>965674.985885886</v>
      </c>
    </row>
    <row r="31" customFormat="false" ht="15" hidden="false" customHeight="false" outlineLevel="0" collapsed="false">
      <c r="B31" s="7" t="str">
        <f aca="false">'Monthly Data'!D27</f>
        <v>Feb-22</v>
      </c>
      <c r="C31" s="7" t="n">
        <f aca="false">'Monthly Data'!E27</f>
        <v>26</v>
      </c>
      <c r="D31" s="11" t="n">
        <f aca="false">'Monthly Data'!F27</f>
        <v>552520</v>
      </c>
      <c r="E31" s="11" t="n">
        <f aca="false">(1*D29+2*D30+3*D31)/6</f>
        <v>538719.166666667</v>
      </c>
      <c r="F31" s="11" t="n">
        <f aca="false">$J$6+$J$5*C31</f>
        <v>968054.21021021</v>
      </c>
    </row>
    <row r="32" customFormat="false" ht="15" hidden="false" customHeight="false" outlineLevel="0" collapsed="false">
      <c r="B32" s="7" t="str">
        <f aca="false">'Monthly Data'!D28</f>
        <v>Mar-22</v>
      </c>
      <c r="C32" s="7" t="n">
        <f aca="false">'Monthly Data'!E28</f>
        <v>27</v>
      </c>
      <c r="D32" s="11" t="n">
        <f aca="false">'Monthly Data'!F28</f>
        <v>1289563</v>
      </c>
      <c r="E32" s="11" t="n">
        <f aca="false">(1*D30+2*D31+3*D32)/6</f>
        <v>938770.833333333</v>
      </c>
      <c r="F32" s="11" t="n">
        <f aca="false">$J$6+$J$5*C32</f>
        <v>970433.434534535</v>
      </c>
    </row>
    <row r="33" customFormat="false" ht="15" hidden="false" customHeight="false" outlineLevel="0" collapsed="false">
      <c r="B33" s="7" t="str">
        <f aca="false">'Monthly Data'!D29</f>
        <v>Apr-22</v>
      </c>
      <c r="C33" s="7" t="n">
        <f aca="false">'Monthly Data'!E29</f>
        <v>28</v>
      </c>
      <c r="D33" s="11" t="n">
        <f aca="false">'Monthly Data'!F29</f>
        <v>1685325</v>
      </c>
      <c r="E33" s="11" t="n">
        <f aca="false">(1*D31+2*D32+3*D33)/6</f>
        <v>1364603.5</v>
      </c>
      <c r="F33" s="11" t="n">
        <f aca="false">$J$6+$J$5*C33</f>
        <v>972812.658858859</v>
      </c>
    </row>
    <row r="34" customFormat="false" ht="15" hidden="false" customHeight="false" outlineLevel="0" collapsed="false">
      <c r="B34" s="7" t="str">
        <f aca="false">'Monthly Data'!D30</f>
        <v>May-22</v>
      </c>
      <c r="C34" s="7" t="n">
        <f aca="false">'Monthly Data'!E30</f>
        <v>29</v>
      </c>
      <c r="D34" s="11" t="n">
        <f aca="false">'Monthly Data'!F30</f>
        <v>2236987</v>
      </c>
      <c r="E34" s="11" t="n">
        <f aca="false">(1*D32+2*D33+3*D34)/6</f>
        <v>1895195.66666667</v>
      </c>
      <c r="F34" s="11" t="n">
        <f aca="false">$J$6+$J$5*C34</f>
        <v>975191.883183183</v>
      </c>
    </row>
    <row r="35" customFormat="false" ht="15" hidden="false" customHeight="false" outlineLevel="0" collapsed="false">
      <c r="B35" s="7" t="str">
        <f aca="false">'Monthly Data'!D31</f>
        <v>Jun-22</v>
      </c>
      <c r="C35" s="7" t="n">
        <f aca="false">'Monthly Data'!E31</f>
        <v>30</v>
      </c>
      <c r="D35" s="11" t="n">
        <f aca="false">'Monthly Data'!F31</f>
        <v>1025452</v>
      </c>
      <c r="E35" s="11" t="n">
        <f aca="false">(1*D33+2*D34+3*D35)/6</f>
        <v>1539275.83333333</v>
      </c>
      <c r="F35" s="11" t="n">
        <f aca="false">$J$6+$J$5*C35</f>
        <v>977571.107507507</v>
      </c>
    </row>
    <row r="36" customFormat="false" ht="15" hidden="false" customHeight="false" outlineLevel="0" collapsed="false">
      <c r="B36" s="7" t="str">
        <f aca="false">'Monthly Data'!D32</f>
        <v>Jul-22</v>
      </c>
      <c r="C36" s="7" t="n">
        <f aca="false">'Monthly Data'!E32</f>
        <v>31</v>
      </c>
      <c r="D36" s="11" t="n">
        <f aca="false">'Monthly Data'!F32</f>
        <v>1856235</v>
      </c>
      <c r="E36" s="11" t="n">
        <f aca="false">(1*D34+2*D35+3*D36)/6</f>
        <v>1642766</v>
      </c>
      <c r="F36" s="11" t="n">
        <f aca="false">$J$6+$J$5*C36</f>
        <v>979950.331831832</v>
      </c>
    </row>
    <row r="37" customFormat="false" ht="15" hidden="false" customHeight="false" outlineLevel="0" collapsed="false">
      <c r="B37" s="7" t="str">
        <f aca="false">'Monthly Data'!D33</f>
        <v>Aug-22</v>
      </c>
      <c r="C37" s="7" t="n">
        <f aca="false">'Monthly Data'!E33</f>
        <v>32</v>
      </c>
      <c r="D37" s="11" t="n">
        <f aca="false">'Monthly Data'!F33</f>
        <v>689587</v>
      </c>
      <c r="E37" s="11" t="n">
        <f aca="false">(1*D35+2*D36+3*D37)/6</f>
        <v>1134447.16666667</v>
      </c>
      <c r="F37" s="11" t="n">
        <f aca="false">$J$6+$J$5*C37</f>
        <v>982329.556156156</v>
      </c>
    </row>
    <row r="38" customFormat="false" ht="15" hidden="false" customHeight="false" outlineLevel="0" collapsed="false">
      <c r="B38" s="7" t="str">
        <f aca="false">'Monthly Data'!D34</f>
        <v>Sep-22</v>
      </c>
      <c r="C38" s="7" t="n">
        <f aca="false">'Monthly Data'!E34</f>
        <v>33</v>
      </c>
      <c r="D38" s="11" t="n">
        <f aca="false">'Monthly Data'!F34</f>
        <v>985563</v>
      </c>
      <c r="E38" s="11" t="n">
        <f aca="false">(1*D36+2*D37+3*D38)/6</f>
        <v>1032016.33333333</v>
      </c>
      <c r="F38" s="11" t="n">
        <f aca="false">$J$6+$J$5*C38</f>
        <v>984708.78048048</v>
      </c>
    </row>
    <row r="39" customFormat="false" ht="15" hidden="false" customHeight="false" outlineLevel="0" collapsed="false">
      <c r="B39" s="7" t="str">
        <f aca="false">'Monthly Data'!D35</f>
        <v>Oct-22</v>
      </c>
      <c r="C39" s="7" t="n">
        <f aca="false">'Monthly Data'!E35</f>
        <v>34</v>
      </c>
      <c r="D39" s="11" t="n">
        <f aca="false">'Monthly Data'!F35</f>
        <v>498564</v>
      </c>
      <c r="E39" s="11" t="n">
        <f aca="false">(1*D37+2*D38+3*D39)/6</f>
        <v>692734.166666667</v>
      </c>
      <c r="F39" s="11" t="n">
        <f aca="false">$J$6+$J$5*C39</f>
        <v>987088.004804805</v>
      </c>
    </row>
    <row r="40" customFormat="false" ht="15" hidden="false" customHeight="false" outlineLevel="0" collapsed="false">
      <c r="B40" s="7" t="str">
        <f aca="false">'Monthly Data'!D36</f>
        <v>Nov-22</v>
      </c>
      <c r="C40" s="7" t="n">
        <f aca="false">'Monthly Data'!E36</f>
        <v>35</v>
      </c>
      <c r="D40" s="11" t="n">
        <f aca="false">'Monthly Data'!F36</f>
        <v>585100</v>
      </c>
      <c r="E40" s="11" t="n">
        <f aca="false">(1*D38+2*D39+3*D40)/6</f>
        <v>622998.5</v>
      </c>
      <c r="F40" s="11" t="n">
        <f aca="false">$J$6+$J$5*C40</f>
        <v>989467.229129129</v>
      </c>
    </row>
    <row r="41" customFormat="false" ht="15" hidden="false" customHeight="false" outlineLevel="0" collapsed="false">
      <c r="B41" s="7" t="str">
        <f aca="false">'Monthly Data'!D37</f>
        <v>Dec-22</v>
      </c>
      <c r="C41" s="7" t="n">
        <f aca="false">'Monthly Data'!E37</f>
        <v>36</v>
      </c>
      <c r="D41" s="11" t="n">
        <f aca="false">'Monthly Data'!F37</f>
        <v>978523</v>
      </c>
      <c r="E41" s="11" t="n">
        <f aca="false">(1*D39+2*D40+3*D41)/6</f>
        <v>767388.833333333</v>
      </c>
      <c r="F41" s="11" t="n">
        <f aca="false">$J$6+$J$5*C41</f>
        <v>991846.453453453</v>
      </c>
    </row>
    <row r="42" customFormat="false" ht="15" hidden="false" customHeight="false" outlineLevel="0" collapsed="false">
      <c r="B42" s="14" t="s">
        <v>83</v>
      </c>
      <c r="C42" s="14" t="n">
        <v>37</v>
      </c>
      <c r="D42" s="14"/>
      <c r="E42" s="15" t="n">
        <f aca="false">(1*D39+2*D40+3*D41)/6</f>
        <v>767388.833333333</v>
      </c>
      <c r="F42" s="15" t="n">
        <f aca="false">$J$6+$J$5*C42</f>
        <v>994225.677777778</v>
      </c>
    </row>
    <row r="43" customFormat="false" ht="15" hidden="false" customHeight="false" outlineLevel="0" collapsed="false">
      <c r="B43" s="14" t="s">
        <v>84</v>
      </c>
      <c r="C43" s="14" t="n">
        <v>38</v>
      </c>
      <c r="D43" s="14"/>
      <c r="E43" s="15" t="n">
        <f aca="false">(1*D40+2*D41+3*E42)/6</f>
        <v>807385.416666667</v>
      </c>
      <c r="F43" s="15" t="n">
        <f aca="false">$J$6+$J$5*C43</f>
        <v>996604.902102102</v>
      </c>
    </row>
    <row r="44" customFormat="false" ht="15" hidden="false" customHeight="false" outlineLevel="0" collapsed="false">
      <c r="B44" s="14" t="s">
        <v>85</v>
      </c>
      <c r="C44" s="14" t="n">
        <v>39</v>
      </c>
      <c r="D44" s="14"/>
      <c r="E44" s="15" t="n">
        <f aca="false">(1*D41+2*E42+3*E43)/6</f>
        <v>822576.152777778</v>
      </c>
      <c r="F44" s="15" t="n">
        <f aca="false">$J$6+$J$5*C44</f>
        <v>998984.126426426</v>
      </c>
    </row>
    <row r="47" customFormat="false" ht="15" hidden="false" customHeight="false" outlineLevel="0" collapsed="false">
      <c r="B47" s="4" t="s">
        <v>86</v>
      </c>
    </row>
    <row r="48" customFormat="false" ht="48" hidden="false" customHeight="true" outlineLevel="0" collapsed="false">
      <c r="B48" s="5" t="s">
        <v>87</v>
      </c>
      <c r="C48" s="5"/>
      <c r="D48" s="5"/>
      <c r="E48" s="5"/>
      <c r="F48" s="5"/>
      <c r="G48" s="5"/>
    </row>
    <row r="51" customFormat="false" ht="15" hidden="false" customHeight="false" outlineLevel="0" collapsed="false">
      <c r="B51" s="4" t="s">
        <v>88</v>
      </c>
    </row>
    <row r="52" customFormat="false" ht="30" hidden="false" customHeight="true" outlineLevel="0" collapsed="false">
      <c r="B52" s="5" t="s">
        <v>89</v>
      </c>
      <c r="C52" s="5"/>
      <c r="D52" s="5"/>
      <c r="E52" s="5"/>
      <c r="F52" s="5"/>
      <c r="G52" s="5"/>
    </row>
    <row r="53" customFormat="false" ht="30" hidden="false" customHeight="true" outlineLevel="0" collapsed="false">
      <c r="B53" s="5" t="s">
        <v>90</v>
      </c>
      <c r="C53" s="5"/>
      <c r="D53" s="5"/>
      <c r="E53" s="5"/>
      <c r="F53" s="5"/>
      <c r="G53" s="5"/>
    </row>
  </sheetData>
  <mergeCells count="4">
    <mergeCell ref="B3:G3"/>
    <mergeCell ref="B48:G48"/>
    <mergeCell ref="B52:G52"/>
    <mergeCell ref="B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8" min="7" style="0" width="4"/>
    <col collapsed="false" customWidth="true" hidden="false" outlineLevel="0" max="10" min="9" style="0" width="14"/>
  </cols>
  <sheetData>
    <row r="2" customFormat="false" ht="19.7" hidden="false" customHeight="false" outlineLevel="0" collapsed="false">
      <c r="B2" s="1" t="s">
        <v>91</v>
      </c>
    </row>
    <row r="3" customFormat="false" ht="31.5" hidden="false" customHeight="true" outlineLevel="0" collapsed="false">
      <c r="B3" s="5" t="s">
        <v>92</v>
      </c>
      <c r="C3" s="5"/>
      <c r="D3" s="5"/>
      <c r="E3" s="5"/>
      <c r="F3" s="5"/>
      <c r="G3" s="5"/>
    </row>
    <row r="4" customFormat="false" ht="15" hidden="false" customHeight="false" outlineLevel="0" collapsed="false">
      <c r="I4" s="4" t="s">
        <v>75</v>
      </c>
    </row>
    <row r="5" customFormat="false" ht="15" hidden="false" customHeight="false" outlineLevel="0" collapsed="false">
      <c r="B5" s="6" t="s">
        <v>24</v>
      </c>
      <c r="C5" s="6" t="s">
        <v>26</v>
      </c>
      <c r="D5" s="6" t="s">
        <v>76</v>
      </c>
      <c r="E5" s="6" t="s">
        <v>77</v>
      </c>
      <c r="F5" s="6" t="s">
        <v>78</v>
      </c>
      <c r="I5" s="9" t="s">
        <v>79</v>
      </c>
      <c r="J5" s="10" t="n">
        <f aca="false">SLOPE(D6:D41,C6:C41)</f>
        <v>4071.68494208494</v>
      </c>
    </row>
    <row r="6" customFormat="false" ht="15" hidden="false" customHeight="false" outlineLevel="0" collapsed="false">
      <c r="B6" s="7" t="str">
        <f aca="false">'Monthly Data'!D38</f>
        <v>Jan-20</v>
      </c>
      <c r="C6" s="7" t="n">
        <f aca="false">'Monthly Data'!E38</f>
        <v>1</v>
      </c>
      <c r="D6" s="11" t="n">
        <f aca="false">'Monthly Data'!F38</f>
        <v>162899</v>
      </c>
      <c r="E6" s="11"/>
      <c r="F6" s="11" t="n">
        <f aca="false">$J$6+$J$5*C6</f>
        <v>204619.346846847</v>
      </c>
      <c r="I6" s="9" t="s">
        <v>80</v>
      </c>
      <c r="J6" s="10" t="n">
        <f aca="false">INTERCEPT(D6:D41,C6:C41)</f>
        <v>200547.661904762</v>
      </c>
    </row>
    <row r="7" customFormat="false" ht="15" hidden="false" customHeight="false" outlineLevel="0" collapsed="false">
      <c r="B7" s="7" t="str">
        <f aca="false">'Monthly Data'!D39</f>
        <v>Feb-20</v>
      </c>
      <c r="C7" s="7" t="n">
        <f aca="false">'Monthly Data'!E39</f>
        <v>2</v>
      </c>
      <c r="D7" s="11" t="n">
        <f aca="false">'Monthly Data'!F39</f>
        <v>176099</v>
      </c>
      <c r="E7" s="11"/>
      <c r="F7" s="11" t="n">
        <f aca="false">$J$6+$J$5*C7</f>
        <v>208691.031788932</v>
      </c>
      <c r="I7" s="9" t="s">
        <v>81</v>
      </c>
      <c r="J7" s="12" t="n">
        <f aca="false">RSQ(D6:D41,C6:C41)</f>
        <v>0.248731532554145</v>
      </c>
    </row>
    <row r="8" customFormat="false" ht="15" hidden="false" customHeight="false" outlineLevel="0" collapsed="false">
      <c r="B8" s="7" t="str">
        <f aca="false">'Monthly Data'!D40</f>
        <v>Mar-20</v>
      </c>
      <c r="C8" s="7" t="n">
        <f aca="false">'Monthly Data'!E40</f>
        <v>3</v>
      </c>
      <c r="D8" s="11" t="n">
        <f aca="false">'Monthly Data'!F40</f>
        <v>186764</v>
      </c>
      <c r="E8" s="11" t="n">
        <f aca="false">(1*D6+2*D7+3*D8)/6</f>
        <v>179231.5</v>
      </c>
      <c r="F8" s="11" t="n">
        <f aca="false">$J$6+$J$5*C8</f>
        <v>212762.716731017</v>
      </c>
      <c r="I8" s="9" t="s">
        <v>82</v>
      </c>
      <c r="J8" s="13" t="n">
        <f aca="false">AVERAGE('Monthly Data'!I38:I73)</f>
        <v>0.00661075117604052</v>
      </c>
    </row>
    <row r="9" customFormat="false" ht="15" hidden="false" customHeight="false" outlineLevel="0" collapsed="false">
      <c r="B9" s="7" t="str">
        <f aca="false">'Monthly Data'!D41</f>
        <v>Apr-20</v>
      </c>
      <c r="C9" s="7" t="n">
        <f aca="false">'Monthly Data'!E41</f>
        <v>4</v>
      </c>
      <c r="D9" s="11" t="n">
        <f aca="false">'Monthly Data'!F41</f>
        <v>199499</v>
      </c>
      <c r="E9" s="11" t="n">
        <f aca="false">(1*D7+2*D8+3*D9)/6</f>
        <v>191354</v>
      </c>
      <c r="F9" s="11" t="n">
        <f aca="false">$J$6+$J$5*C9</f>
        <v>216834.401673102</v>
      </c>
    </row>
    <row r="10" customFormat="false" ht="15" hidden="false" customHeight="false" outlineLevel="0" collapsed="false">
      <c r="B10" s="7" t="str">
        <f aca="false">'Monthly Data'!D42</f>
        <v>May-20</v>
      </c>
      <c r="C10" s="7" t="n">
        <f aca="false">'Monthly Data'!E42</f>
        <v>5</v>
      </c>
      <c r="D10" s="11" t="n">
        <f aca="false">'Monthly Data'!F42</f>
        <v>208591</v>
      </c>
      <c r="E10" s="11" t="n">
        <f aca="false">(1*D8+2*D9+3*D10)/6</f>
        <v>201922.5</v>
      </c>
      <c r="F10" s="11" t="n">
        <f aca="false">$J$6+$J$5*C10</f>
        <v>220906.086615187</v>
      </c>
    </row>
    <row r="11" customFormat="false" ht="15" hidden="false" customHeight="false" outlineLevel="0" collapsed="false">
      <c r="B11" s="7" t="str">
        <f aca="false">'Monthly Data'!D43</f>
        <v>Jun-20</v>
      </c>
      <c r="C11" s="7" t="n">
        <f aca="false">'Monthly Data'!E43</f>
        <v>6</v>
      </c>
      <c r="D11" s="11" t="n">
        <f aca="false">'Monthly Data'!F43</f>
        <v>340737</v>
      </c>
      <c r="E11" s="11" t="n">
        <f aca="false">(1*D9+2*D10+3*D11)/6</f>
        <v>273148.666666667</v>
      </c>
      <c r="F11" s="11" t="n">
        <f aca="false">$J$6+$J$5*C11</f>
        <v>224977.771557272</v>
      </c>
    </row>
    <row r="12" customFormat="false" ht="15" hidden="false" customHeight="false" outlineLevel="0" collapsed="false">
      <c r="B12" s="7" t="str">
        <f aca="false">'Monthly Data'!D44</f>
        <v>Jul-20</v>
      </c>
      <c r="C12" s="7" t="n">
        <f aca="false">'Monthly Data'!E44</f>
        <v>7</v>
      </c>
      <c r="D12" s="11" t="n">
        <f aca="false">'Monthly Data'!F44</f>
        <v>238052</v>
      </c>
      <c r="E12" s="11" t="n">
        <f aca="false">(1*D10+2*D11+3*D12)/6</f>
        <v>267370.166666667</v>
      </c>
      <c r="F12" s="11" t="n">
        <f aca="false">$J$6+$J$5*C12</f>
        <v>229049.456499356</v>
      </c>
    </row>
    <row r="13" customFormat="false" ht="15" hidden="false" customHeight="false" outlineLevel="0" collapsed="false">
      <c r="B13" s="7" t="str">
        <f aca="false">'Monthly Data'!D45</f>
        <v>Aug-20</v>
      </c>
      <c r="C13" s="7" t="n">
        <f aca="false">'Monthly Data'!E45</f>
        <v>8</v>
      </c>
      <c r="D13" s="11" t="n">
        <f aca="false">'Monthly Data'!F45</f>
        <v>248527</v>
      </c>
      <c r="E13" s="11" t="n">
        <f aca="false">(1*D11+2*D12+3*D13)/6</f>
        <v>260403.666666667</v>
      </c>
      <c r="F13" s="11" t="n">
        <f aca="false">$J$6+$J$5*C13</f>
        <v>233121.141441441</v>
      </c>
    </row>
    <row r="14" customFormat="false" ht="15" hidden="false" customHeight="false" outlineLevel="0" collapsed="false">
      <c r="B14" s="7" t="str">
        <f aca="false">'Monthly Data'!D46</f>
        <v>Sep-20</v>
      </c>
      <c r="C14" s="7" t="n">
        <f aca="false">'Monthly Data'!E46</f>
        <v>9</v>
      </c>
      <c r="D14" s="11" t="n">
        <f aca="false">'Monthly Data'!F46</f>
        <v>260195</v>
      </c>
      <c r="E14" s="11" t="n">
        <f aca="false">(1*D12+2*D13+3*D14)/6</f>
        <v>252615.166666667</v>
      </c>
      <c r="F14" s="11" t="n">
        <f aca="false">$J$6+$J$5*C14</f>
        <v>237192.826383526</v>
      </c>
    </row>
    <row r="15" customFormat="false" ht="15" hidden="false" customHeight="false" outlineLevel="0" collapsed="false">
      <c r="B15" s="7" t="str">
        <f aca="false">'Monthly Data'!D47</f>
        <v>Oct-20</v>
      </c>
      <c r="C15" s="7" t="n">
        <f aca="false">'Monthly Data'!E47</f>
        <v>10</v>
      </c>
      <c r="D15" s="11" t="n">
        <f aca="false">'Monthly Data'!F47</f>
        <v>269879</v>
      </c>
      <c r="E15" s="11" t="n">
        <f aca="false">(1*D13+2*D14+3*D15)/6</f>
        <v>263092.333333333</v>
      </c>
      <c r="F15" s="11" t="n">
        <f aca="false">$J$6+$J$5*C15</f>
        <v>241264.511325611</v>
      </c>
    </row>
    <row r="16" customFormat="false" ht="15" hidden="false" customHeight="false" outlineLevel="0" collapsed="false">
      <c r="B16" s="7" t="str">
        <f aca="false">'Monthly Data'!D48</f>
        <v>Nov-20</v>
      </c>
      <c r="C16" s="7" t="n">
        <f aca="false">'Monthly Data'!E48</f>
        <v>11</v>
      </c>
      <c r="D16" s="11" t="n">
        <f aca="false">'Monthly Data'!F48</f>
        <v>282528</v>
      </c>
      <c r="E16" s="11" t="n">
        <f aca="false">(1*D14+2*D15+3*D16)/6</f>
        <v>274589.5</v>
      </c>
      <c r="F16" s="11" t="n">
        <f aca="false">$J$6+$J$5*C16</f>
        <v>245336.196267696</v>
      </c>
    </row>
    <row r="17" customFormat="false" ht="15" hidden="false" customHeight="false" outlineLevel="0" collapsed="false">
      <c r="B17" s="7" t="str">
        <f aca="false">'Monthly Data'!D49</f>
        <v>Dec-20</v>
      </c>
      <c r="C17" s="7" t="n">
        <f aca="false">'Monthly Data'!E49</f>
        <v>12</v>
      </c>
      <c r="D17" s="11" t="n">
        <f aca="false">'Monthly Data'!F49</f>
        <v>440769</v>
      </c>
      <c r="E17" s="11" t="n">
        <f aca="false">(1*D15+2*D16+3*D17)/6</f>
        <v>359540.333333333</v>
      </c>
      <c r="F17" s="11" t="n">
        <f aca="false">$J$6+$J$5*C17</f>
        <v>249407.881209781</v>
      </c>
    </row>
    <row r="18" customFormat="false" ht="15" hidden="false" customHeight="false" outlineLevel="0" collapsed="false">
      <c r="B18" s="7" t="str">
        <f aca="false">'Monthly Data'!D50</f>
        <v>Jan-21</v>
      </c>
      <c r="C18" s="7" t="n">
        <f aca="false">'Monthly Data'!E50</f>
        <v>13</v>
      </c>
      <c r="D18" s="11" t="n">
        <f aca="false">'Monthly Data'!F50</f>
        <v>187762</v>
      </c>
      <c r="E18" s="11" t="n">
        <f aca="false">(1*D16+2*D17+3*D18)/6</f>
        <v>287892</v>
      </c>
      <c r="F18" s="11" t="n">
        <f aca="false">$J$6+$J$5*C18</f>
        <v>253479.566151866</v>
      </c>
    </row>
    <row r="19" customFormat="false" ht="15" hidden="false" customHeight="false" outlineLevel="0" collapsed="false">
      <c r="B19" s="7" t="str">
        <f aca="false">'Monthly Data'!D51</f>
        <v>Feb-21</v>
      </c>
      <c r="C19" s="7" t="n">
        <f aca="false">'Monthly Data'!E51</f>
        <v>14</v>
      </c>
      <c r="D19" s="11" t="n">
        <f aca="false">'Monthly Data'!F51</f>
        <v>196055</v>
      </c>
      <c r="E19" s="11" t="n">
        <f aca="false">(1*D17+2*D18+3*D19)/6</f>
        <v>234076.333333333</v>
      </c>
      <c r="F19" s="11" t="n">
        <f aca="false">$J$6+$J$5*C19</f>
        <v>257551.251093951</v>
      </c>
    </row>
    <row r="20" customFormat="false" ht="15" hidden="false" customHeight="false" outlineLevel="0" collapsed="false">
      <c r="B20" s="7" t="str">
        <f aca="false">'Monthly Data'!D52</f>
        <v>Mar-21</v>
      </c>
      <c r="C20" s="7" t="n">
        <f aca="false">'Monthly Data'!E52</f>
        <v>15</v>
      </c>
      <c r="D20" s="11" t="n">
        <f aca="false">'Monthly Data'!F52</f>
        <v>209881</v>
      </c>
      <c r="E20" s="11" t="n">
        <f aca="false">(1*D18+2*D19+3*D20)/6</f>
        <v>201585.833333333</v>
      </c>
      <c r="F20" s="11" t="n">
        <f aca="false">$J$6+$J$5*C20</f>
        <v>261622.936036036</v>
      </c>
    </row>
    <row r="21" customFormat="false" ht="15" hidden="false" customHeight="false" outlineLevel="0" collapsed="false">
      <c r="B21" s="7" t="str">
        <f aca="false">'Monthly Data'!D53</f>
        <v>Apr-21</v>
      </c>
      <c r="C21" s="7" t="n">
        <f aca="false">'Monthly Data'!E53</f>
        <v>16</v>
      </c>
      <c r="D21" s="11" t="n">
        <f aca="false">'Monthly Data'!F53</f>
        <v>220678</v>
      </c>
      <c r="E21" s="11" t="n">
        <f aca="false">(1*D19+2*D20+3*D21)/6</f>
        <v>212975.166666667</v>
      </c>
      <c r="F21" s="11" t="n">
        <f aca="false">$J$6+$J$5*C21</f>
        <v>265694.620978121</v>
      </c>
    </row>
    <row r="22" customFormat="false" ht="15" hidden="false" customHeight="false" outlineLevel="0" collapsed="false">
      <c r="B22" s="7" t="str">
        <f aca="false">'Monthly Data'!D54</f>
        <v>May-21</v>
      </c>
      <c r="C22" s="7" t="n">
        <f aca="false">'Monthly Data'!E54</f>
        <v>17</v>
      </c>
      <c r="D22" s="11" t="n">
        <f aca="false">'Monthly Data'!F54</f>
        <v>235335</v>
      </c>
      <c r="E22" s="11" t="n">
        <f aca="false">(1*D20+2*D21+3*D22)/6</f>
        <v>226207</v>
      </c>
      <c r="F22" s="11" t="n">
        <f aca="false">$J$6+$J$5*C22</f>
        <v>269766.305920206</v>
      </c>
    </row>
    <row r="23" customFormat="false" ht="15" hidden="false" customHeight="false" outlineLevel="0" collapsed="false">
      <c r="B23" s="7" t="str">
        <f aca="false">'Monthly Data'!D55</f>
        <v>Jun-21</v>
      </c>
      <c r="C23" s="7" t="n">
        <f aca="false">'Monthly Data'!E55</f>
        <v>18</v>
      </c>
      <c r="D23" s="11" t="n">
        <f aca="false">'Monthly Data'!F55</f>
        <v>368064</v>
      </c>
      <c r="E23" s="11" t="n">
        <f aca="false">(1*D21+2*D22+3*D23)/6</f>
        <v>299256.666666667</v>
      </c>
      <c r="F23" s="11" t="n">
        <f aca="false">$J$6+$J$5*C23</f>
        <v>273837.990862291</v>
      </c>
    </row>
    <row r="24" customFormat="false" ht="15" hidden="false" customHeight="false" outlineLevel="0" collapsed="false">
      <c r="B24" s="7" t="str">
        <f aca="false">'Monthly Data'!D56</f>
        <v>Jul-21</v>
      </c>
      <c r="C24" s="7" t="n">
        <f aca="false">'Monthly Data'!E56</f>
        <v>19</v>
      </c>
      <c r="D24" s="11" t="n">
        <f aca="false">'Monthly Data'!F56</f>
        <v>257341</v>
      </c>
      <c r="E24" s="11" t="n">
        <f aca="false">(1*D22+2*D23+3*D24)/6</f>
        <v>290581</v>
      </c>
      <c r="F24" s="11" t="n">
        <f aca="false">$J$6+$J$5*C24</f>
        <v>277909.675804376</v>
      </c>
    </row>
    <row r="25" customFormat="false" ht="15" hidden="false" customHeight="false" outlineLevel="0" collapsed="false">
      <c r="B25" s="7" t="str">
        <f aca="false">'Monthly Data'!D57</f>
        <v>Aug-21</v>
      </c>
      <c r="C25" s="7" t="n">
        <f aca="false">'Monthly Data'!E57</f>
        <v>20</v>
      </c>
      <c r="D25" s="11" t="n">
        <f aca="false">'Monthly Data'!F57</f>
        <v>267464</v>
      </c>
      <c r="E25" s="11" t="n">
        <f aca="false">(1*D23+2*D24+3*D25)/6</f>
        <v>280856.333333333</v>
      </c>
      <c r="F25" s="11" t="n">
        <f aca="false">$J$6+$J$5*C25</f>
        <v>281981.360746461</v>
      </c>
    </row>
    <row r="26" customFormat="false" ht="15" hidden="false" customHeight="false" outlineLevel="0" collapsed="false">
      <c r="B26" s="7" t="str">
        <f aca="false">'Monthly Data'!D58</f>
        <v>Sep-21</v>
      </c>
      <c r="C26" s="7" t="n">
        <f aca="false">'Monthly Data'!E58</f>
        <v>21</v>
      </c>
      <c r="D26" s="11" t="n">
        <f aca="false">'Monthly Data'!F58</f>
        <v>274918</v>
      </c>
      <c r="E26" s="11" t="n">
        <f aca="false">(1*D24+2*D25+3*D26)/6</f>
        <v>269503.833333333</v>
      </c>
      <c r="F26" s="11" t="n">
        <f aca="false">$J$6+$J$5*C26</f>
        <v>286053.045688546</v>
      </c>
    </row>
    <row r="27" customFormat="false" ht="15" hidden="false" customHeight="false" outlineLevel="0" collapsed="false">
      <c r="B27" s="7" t="str">
        <f aca="false">'Monthly Data'!D59</f>
        <v>Oct-21</v>
      </c>
      <c r="C27" s="7" t="n">
        <f aca="false">'Monthly Data'!E59</f>
        <v>22</v>
      </c>
      <c r="D27" s="11" t="n">
        <f aca="false">'Monthly Data'!F59</f>
        <v>282747</v>
      </c>
      <c r="E27" s="11" t="n">
        <f aca="false">(1*D25+2*D26+3*D27)/6</f>
        <v>277590.166666667</v>
      </c>
      <c r="F27" s="11" t="n">
        <f aca="false">$J$6+$J$5*C27</f>
        <v>290124.730630631</v>
      </c>
    </row>
    <row r="28" customFormat="false" ht="15" hidden="false" customHeight="false" outlineLevel="0" collapsed="false">
      <c r="B28" s="7" t="str">
        <f aca="false">'Monthly Data'!D60</f>
        <v>Nov-21</v>
      </c>
      <c r="C28" s="7" t="n">
        <f aca="false">'Monthly Data'!E60</f>
        <v>23</v>
      </c>
      <c r="D28" s="11" t="n">
        <f aca="false">'Monthly Data'!F60</f>
        <v>293105</v>
      </c>
      <c r="E28" s="11" t="n">
        <f aca="false">(1*D26+2*D27+3*D28)/6</f>
        <v>286621.166666667</v>
      </c>
      <c r="F28" s="11" t="n">
        <f aca="false">$J$6+$J$5*C28</f>
        <v>294196.415572716</v>
      </c>
    </row>
    <row r="29" customFormat="false" ht="15" hidden="false" customHeight="false" outlineLevel="0" collapsed="false">
      <c r="B29" s="7" t="str">
        <f aca="false">'Monthly Data'!D61</f>
        <v>Dec-21</v>
      </c>
      <c r="C29" s="7" t="n">
        <f aca="false">'Monthly Data'!E61</f>
        <v>24</v>
      </c>
      <c r="D29" s="11" t="n">
        <f aca="false">'Monthly Data'!F61</f>
        <v>455429</v>
      </c>
      <c r="E29" s="11" t="n">
        <f aca="false">(1*D27+2*D28+3*D29)/6</f>
        <v>372540.666666667</v>
      </c>
      <c r="F29" s="11" t="n">
        <f aca="false">$J$6+$J$5*C29</f>
        <v>298268.100514801</v>
      </c>
    </row>
    <row r="30" customFormat="false" ht="15" hidden="false" customHeight="false" outlineLevel="0" collapsed="false">
      <c r="B30" s="7" t="str">
        <f aca="false">'Monthly Data'!D62</f>
        <v>Jan-22</v>
      </c>
      <c r="C30" s="7" t="n">
        <f aca="false">'Monthly Data'!E62</f>
        <v>25</v>
      </c>
      <c r="D30" s="11" t="n">
        <f aca="false">'Monthly Data'!F62</f>
        <v>194340</v>
      </c>
      <c r="E30" s="11" t="n">
        <f aca="false">(1*D28+2*D29+3*D30)/6</f>
        <v>297830.5</v>
      </c>
      <c r="F30" s="11" t="n">
        <f aca="false">$J$6+$J$5*C30</f>
        <v>302339.785456885</v>
      </c>
    </row>
    <row r="31" customFormat="false" ht="15" hidden="false" customHeight="false" outlineLevel="0" collapsed="false">
      <c r="B31" s="7" t="str">
        <f aca="false">'Monthly Data'!D63</f>
        <v>Feb-22</v>
      </c>
      <c r="C31" s="7" t="n">
        <f aca="false">'Monthly Data'!E63</f>
        <v>26</v>
      </c>
      <c r="D31" s="11" t="n">
        <f aca="false">'Monthly Data'!F63</f>
        <v>202899</v>
      </c>
      <c r="E31" s="11" t="n">
        <f aca="false">(1*D29+2*D30+3*D31)/6</f>
        <v>242134.333333333</v>
      </c>
      <c r="F31" s="11" t="n">
        <f aca="false">$J$6+$J$5*C31</f>
        <v>306411.47039897</v>
      </c>
    </row>
    <row r="32" customFormat="false" ht="15" hidden="false" customHeight="false" outlineLevel="0" collapsed="false">
      <c r="B32" s="7" t="str">
        <f aca="false">'Monthly Data'!D64</f>
        <v>Mar-22</v>
      </c>
      <c r="C32" s="7" t="n">
        <f aca="false">'Monthly Data'!E64</f>
        <v>27</v>
      </c>
      <c r="D32" s="11" t="n">
        <f aca="false">'Monthly Data'!F64</f>
        <v>216109</v>
      </c>
      <c r="E32" s="11" t="n">
        <f aca="false">(1*D30+2*D31+3*D32)/6</f>
        <v>208077.5</v>
      </c>
      <c r="F32" s="11" t="n">
        <f aca="false">$J$6+$J$5*C32</f>
        <v>310483.155341055</v>
      </c>
    </row>
    <row r="33" customFormat="false" ht="15" hidden="false" customHeight="false" outlineLevel="0" collapsed="false">
      <c r="B33" s="7" t="str">
        <f aca="false">'Monthly Data'!D65</f>
        <v>Apr-22</v>
      </c>
      <c r="C33" s="7" t="n">
        <f aca="false">'Monthly Data'!E65</f>
        <v>28</v>
      </c>
      <c r="D33" s="11" t="n">
        <f aca="false">'Monthly Data'!F65</f>
        <v>236095</v>
      </c>
      <c r="E33" s="11" t="n">
        <f aca="false">(1*D31+2*D32+3*D33)/6</f>
        <v>223900.333333333</v>
      </c>
      <c r="F33" s="11" t="n">
        <f aca="false">$J$6+$J$5*C33</f>
        <v>314554.84028314</v>
      </c>
    </row>
    <row r="34" customFormat="false" ht="15" hidden="false" customHeight="false" outlineLevel="0" collapsed="false">
      <c r="B34" s="7" t="str">
        <f aca="false">'Monthly Data'!D66</f>
        <v>May-22</v>
      </c>
      <c r="C34" s="7" t="n">
        <f aca="false">'Monthly Data'!E66</f>
        <v>29</v>
      </c>
      <c r="D34" s="11" t="n">
        <f aca="false">'Monthly Data'!F66</f>
        <v>260284</v>
      </c>
      <c r="E34" s="11" t="n">
        <f aca="false">(1*D32+2*D33+3*D34)/6</f>
        <v>244858.5</v>
      </c>
      <c r="F34" s="11" t="n">
        <f aca="false">$J$6+$J$5*C34</f>
        <v>318626.525225225</v>
      </c>
    </row>
    <row r="35" customFormat="false" ht="15" hidden="false" customHeight="false" outlineLevel="0" collapsed="false">
      <c r="B35" s="7" t="str">
        <f aca="false">'Monthly Data'!D67</f>
        <v>Jun-22</v>
      </c>
      <c r="C35" s="7" t="n">
        <f aca="false">'Monthly Data'!E67</f>
        <v>30</v>
      </c>
      <c r="D35" s="11" t="n">
        <f aca="false">'Monthly Data'!F67</f>
        <v>407763</v>
      </c>
      <c r="E35" s="11" t="n">
        <f aca="false">(1*D33+2*D34+3*D35)/6</f>
        <v>329992</v>
      </c>
      <c r="F35" s="11" t="n">
        <f aca="false">$J$6+$J$5*C35</f>
        <v>322698.21016731</v>
      </c>
    </row>
    <row r="36" customFormat="false" ht="15" hidden="false" customHeight="false" outlineLevel="0" collapsed="false">
      <c r="B36" s="7" t="str">
        <f aca="false">'Monthly Data'!D68</f>
        <v>Jul-22</v>
      </c>
      <c r="C36" s="7" t="n">
        <f aca="false">'Monthly Data'!E68</f>
        <v>31</v>
      </c>
      <c r="D36" s="11" t="n">
        <f aca="false">'Monthly Data'!F68</f>
        <v>293216</v>
      </c>
      <c r="E36" s="11" t="n">
        <f aca="false">(1*D34+2*D35+3*D36)/6</f>
        <v>325909.666666667</v>
      </c>
      <c r="F36" s="11" t="n">
        <f aca="false">$J$6+$J$5*C36</f>
        <v>326769.895109395</v>
      </c>
    </row>
    <row r="37" customFormat="false" ht="15" hidden="false" customHeight="false" outlineLevel="0" collapsed="false">
      <c r="B37" s="7" t="str">
        <f aca="false">'Monthly Data'!D69</f>
        <v>Aug-22</v>
      </c>
      <c r="C37" s="7" t="n">
        <f aca="false">'Monthly Data'!E69</f>
        <v>32</v>
      </c>
      <c r="D37" s="11" t="n">
        <f aca="false">'Monthly Data'!F69</f>
        <v>310714</v>
      </c>
      <c r="E37" s="11" t="n">
        <f aca="false">(1*D35+2*D36+3*D37)/6</f>
        <v>321056.166666667</v>
      </c>
      <c r="F37" s="11" t="n">
        <f aca="false">$J$6+$J$5*C37</f>
        <v>330841.58005148</v>
      </c>
    </row>
    <row r="38" customFormat="false" ht="15" hidden="false" customHeight="false" outlineLevel="0" collapsed="false">
      <c r="B38" s="7" t="str">
        <f aca="false">'Monthly Data'!D70</f>
        <v>Sep-22</v>
      </c>
      <c r="C38" s="7" t="n">
        <f aca="false">'Monthly Data'!E70</f>
        <v>33</v>
      </c>
      <c r="D38" s="11" t="n">
        <f aca="false">'Monthly Data'!F70</f>
        <v>318015</v>
      </c>
      <c r="E38" s="11" t="n">
        <f aca="false">(1*D36+2*D37+3*D38)/6</f>
        <v>311448.166666667</v>
      </c>
      <c r="F38" s="11" t="n">
        <f aca="false">$J$6+$J$5*C38</f>
        <v>334913.264993565</v>
      </c>
    </row>
    <row r="39" customFormat="false" ht="15" hidden="false" customHeight="false" outlineLevel="0" collapsed="false">
      <c r="B39" s="7" t="str">
        <f aca="false">'Monthly Data'!D71</f>
        <v>Oct-22</v>
      </c>
      <c r="C39" s="7" t="n">
        <f aca="false">'Monthly Data'!E71</f>
        <v>34</v>
      </c>
      <c r="D39" s="11" t="n">
        <f aca="false">'Monthly Data'!F71</f>
        <v>334673</v>
      </c>
      <c r="E39" s="11" t="n">
        <f aca="false">(1*D37+2*D38+3*D39)/6</f>
        <v>325127.166666667</v>
      </c>
      <c r="F39" s="11" t="n">
        <f aca="false">$J$6+$J$5*C39</f>
        <v>338984.94993565</v>
      </c>
    </row>
    <row r="40" customFormat="false" ht="15" hidden="false" customHeight="false" outlineLevel="0" collapsed="false">
      <c r="B40" s="7" t="str">
        <f aca="false">'Monthly Data'!D72</f>
        <v>Nov-22</v>
      </c>
      <c r="C40" s="7" t="n">
        <f aca="false">'Monthly Data'!E72</f>
        <v>35</v>
      </c>
      <c r="D40" s="11" t="n">
        <f aca="false">'Monthly Data'!F72</f>
        <v>348898</v>
      </c>
      <c r="E40" s="11" t="n">
        <f aca="false">(1*D38+2*D39+3*D40)/6</f>
        <v>339009.166666667</v>
      </c>
      <c r="F40" s="11" t="n">
        <f aca="false">$J$6+$J$5*C40</f>
        <v>343056.634877735</v>
      </c>
    </row>
    <row r="41" customFormat="false" ht="15" hidden="false" customHeight="false" outlineLevel="0" collapsed="false">
      <c r="B41" s="7" t="str">
        <f aca="false">'Monthly Data'!D73</f>
        <v>Dec-22</v>
      </c>
      <c r="C41" s="7" t="n">
        <f aca="false">'Monthly Data'!E73</f>
        <v>36</v>
      </c>
      <c r="D41" s="11" t="n">
        <f aca="false">'Monthly Data'!F73</f>
        <v>545134</v>
      </c>
      <c r="E41" s="11" t="n">
        <f aca="false">(1*D39+2*D40+3*D41)/6</f>
        <v>444645.166666667</v>
      </c>
      <c r="F41" s="11" t="n">
        <f aca="false">$J$6+$J$5*C41</f>
        <v>347128.31981982</v>
      </c>
    </row>
    <row r="42" customFormat="false" ht="15" hidden="false" customHeight="false" outlineLevel="0" collapsed="false">
      <c r="B42" s="14" t="s">
        <v>83</v>
      </c>
      <c r="C42" s="14" t="n">
        <v>37</v>
      </c>
      <c r="D42" s="14"/>
      <c r="E42" s="15" t="n">
        <f aca="false">(1*D39+2*D40+3*D41)/6</f>
        <v>444645.166666667</v>
      </c>
      <c r="F42" s="15" t="n">
        <f aca="false">$J$6+$J$5*C42</f>
        <v>351200.004761905</v>
      </c>
    </row>
    <row r="43" customFormat="false" ht="15" hidden="false" customHeight="false" outlineLevel="0" collapsed="false">
      <c r="B43" s="14" t="s">
        <v>84</v>
      </c>
      <c r="C43" s="14" t="n">
        <v>38</v>
      </c>
      <c r="D43" s="14"/>
      <c r="E43" s="15" t="n">
        <f aca="false">(1*D40+2*D41+3*E42)/6</f>
        <v>462183.583333333</v>
      </c>
      <c r="F43" s="15" t="n">
        <f aca="false">$J$6+$J$5*C43</f>
        <v>355271.68970399</v>
      </c>
    </row>
    <row r="44" customFormat="false" ht="15" hidden="false" customHeight="false" outlineLevel="0" collapsed="false">
      <c r="B44" s="14" t="s">
        <v>85</v>
      </c>
      <c r="C44" s="14" t="n">
        <v>39</v>
      </c>
      <c r="D44" s="14"/>
      <c r="E44" s="15" t="n">
        <f aca="false">(1*D41+2*E42+3*E43)/6</f>
        <v>470162.513888889</v>
      </c>
      <c r="F44" s="15" t="n">
        <f aca="false">$J$6+$J$5*C44</f>
        <v>359343.374646075</v>
      </c>
    </row>
    <row r="47" customFormat="false" ht="15" hidden="false" customHeight="false" outlineLevel="0" collapsed="false">
      <c r="B47" s="4" t="s">
        <v>86</v>
      </c>
    </row>
    <row r="48" customFormat="false" ht="48" hidden="false" customHeight="true" outlineLevel="0" collapsed="false">
      <c r="B48" s="5" t="s">
        <v>93</v>
      </c>
      <c r="C48" s="5"/>
      <c r="D48" s="5"/>
      <c r="E48" s="5"/>
      <c r="F48" s="5"/>
      <c r="G48" s="5"/>
    </row>
    <row r="51" customFormat="false" ht="15" hidden="false" customHeight="false" outlineLevel="0" collapsed="false">
      <c r="B51" s="4" t="s">
        <v>88</v>
      </c>
    </row>
    <row r="52" customFormat="false" ht="30" hidden="false" customHeight="true" outlineLevel="0" collapsed="false">
      <c r="B52" s="5" t="s">
        <v>94</v>
      </c>
      <c r="C52" s="5"/>
      <c r="D52" s="5"/>
      <c r="E52" s="5"/>
      <c r="F52" s="5"/>
      <c r="G52" s="5"/>
    </row>
    <row r="53" customFormat="false" ht="30" hidden="false" customHeight="true" outlineLevel="0" collapsed="false">
      <c r="B53" s="5" t="s">
        <v>95</v>
      </c>
      <c r="C53" s="5"/>
      <c r="D53" s="5"/>
      <c r="E53" s="5"/>
      <c r="F53" s="5"/>
      <c r="G53" s="5"/>
    </row>
  </sheetData>
  <mergeCells count="4">
    <mergeCell ref="B3:G3"/>
    <mergeCell ref="B48:G48"/>
    <mergeCell ref="B52:G52"/>
    <mergeCell ref="B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8" min="7" style="0" width="4"/>
    <col collapsed="false" customWidth="true" hidden="false" outlineLevel="0" max="10" min="9" style="0" width="14"/>
  </cols>
  <sheetData>
    <row r="2" customFormat="false" ht="19.7" hidden="false" customHeight="false" outlineLevel="0" collapsed="false">
      <c r="B2" s="1" t="s">
        <v>96</v>
      </c>
    </row>
    <row r="3" customFormat="false" ht="31.5" hidden="false" customHeight="true" outlineLevel="0" collapsed="false">
      <c r="B3" s="5" t="s">
        <v>97</v>
      </c>
      <c r="C3" s="5"/>
      <c r="D3" s="5"/>
      <c r="E3" s="5"/>
      <c r="F3" s="5"/>
      <c r="G3" s="5"/>
    </row>
    <row r="4" customFormat="false" ht="15" hidden="false" customHeight="false" outlineLevel="0" collapsed="false">
      <c r="I4" s="4" t="s">
        <v>75</v>
      </c>
    </row>
    <row r="5" customFormat="false" ht="15" hidden="false" customHeight="false" outlineLevel="0" collapsed="false">
      <c r="B5" s="6" t="s">
        <v>24</v>
      </c>
      <c r="C5" s="6" t="s">
        <v>26</v>
      </c>
      <c r="D5" s="6" t="s">
        <v>76</v>
      </c>
      <c r="E5" s="6" t="s">
        <v>77</v>
      </c>
      <c r="F5" s="6" t="s">
        <v>78</v>
      </c>
      <c r="I5" s="9" t="s">
        <v>79</v>
      </c>
      <c r="J5" s="10" t="n">
        <f aca="false">SLOPE(D6:D41,C6:C41)</f>
        <v>20979.4285714286</v>
      </c>
    </row>
    <row r="6" customFormat="false" ht="15" hidden="false" customHeight="false" outlineLevel="0" collapsed="false">
      <c r="B6" s="7" t="str">
        <f aca="false">'Monthly Data'!D74</f>
        <v>Jan-20</v>
      </c>
      <c r="C6" s="7" t="n">
        <f aca="false">'Monthly Data'!E74</f>
        <v>1</v>
      </c>
      <c r="D6" s="11" t="n">
        <f aca="false">'Monthly Data'!F74</f>
        <v>528166</v>
      </c>
      <c r="E6" s="11"/>
      <c r="F6" s="11" t="n">
        <f aca="false">$J$6+$J$5*C6</f>
        <v>506824.555555556</v>
      </c>
      <c r="I6" s="9" t="s">
        <v>80</v>
      </c>
      <c r="J6" s="10" t="n">
        <f aca="false">INTERCEPT(D6:D41,C6:C41)</f>
        <v>485845.126984127</v>
      </c>
    </row>
    <row r="7" customFormat="false" ht="15" hidden="false" customHeight="false" outlineLevel="0" collapsed="false">
      <c r="B7" s="7" t="str">
        <f aca="false">'Monthly Data'!D75</f>
        <v>Feb-20</v>
      </c>
      <c r="C7" s="7" t="n">
        <f aca="false">'Monthly Data'!E75</f>
        <v>2</v>
      </c>
      <c r="D7" s="11" t="n">
        <f aca="false">'Monthly Data'!F75</f>
        <v>612054</v>
      </c>
      <c r="E7" s="11"/>
      <c r="F7" s="11" t="n">
        <f aca="false">$J$6+$J$5*C7</f>
        <v>527803.984126984</v>
      </c>
      <c r="I7" s="9" t="s">
        <v>81</v>
      </c>
      <c r="J7" s="12" t="n">
        <f aca="false">RSQ(D6:D41,C6:C41)</f>
        <v>0.269303401212214</v>
      </c>
    </row>
    <row r="8" customFormat="false" ht="15" hidden="false" customHeight="false" outlineLevel="0" collapsed="false">
      <c r="B8" s="7" t="str">
        <f aca="false">'Monthly Data'!D76</f>
        <v>Mar-20</v>
      </c>
      <c r="C8" s="7" t="n">
        <f aca="false">'Monthly Data'!E76</f>
        <v>3</v>
      </c>
      <c r="D8" s="11" t="n">
        <f aca="false">'Monthly Data'!F76</f>
        <v>814016</v>
      </c>
      <c r="E8" s="11" t="n">
        <f aca="false">(1*D6+2*D7+3*D8)/6</f>
        <v>699053.666666667</v>
      </c>
      <c r="F8" s="11" t="n">
        <f aca="false">$J$6+$J$5*C8</f>
        <v>548783.412698413</v>
      </c>
      <c r="I8" s="9" t="s">
        <v>82</v>
      </c>
      <c r="J8" s="13" t="n">
        <f aca="false">AVERAGE('Monthly Data'!I74:I109)</f>
        <v>0.00716239603164869</v>
      </c>
    </row>
    <row r="9" customFormat="false" ht="15" hidden="false" customHeight="false" outlineLevel="0" collapsed="false">
      <c r="B9" s="7" t="str">
        <f aca="false">'Monthly Data'!D77</f>
        <v>Apr-20</v>
      </c>
      <c r="C9" s="7" t="n">
        <f aca="false">'Monthly Data'!E77</f>
        <v>4</v>
      </c>
      <c r="D9" s="11" t="n">
        <f aca="false">'Monthly Data'!F77</f>
        <v>705349</v>
      </c>
      <c r="E9" s="11" t="n">
        <f aca="false">(1*D7+2*D8+3*D9)/6</f>
        <v>726022.166666667</v>
      </c>
      <c r="F9" s="11" t="n">
        <f aca="false">$J$6+$J$5*C9</f>
        <v>569762.841269841</v>
      </c>
    </row>
    <row r="10" customFormat="false" ht="15" hidden="false" customHeight="false" outlineLevel="0" collapsed="false">
      <c r="B10" s="7" t="str">
        <f aca="false">'Monthly Data'!D78</f>
        <v>May-20</v>
      </c>
      <c r="C10" s="7" t="n">
        <f aca="false">'Monthly Data'!E78</f>
        <v>5</v>
      </c>
      <c r="D10" s="11" t="n">
        <f aca="false">'Monthly Data'!F78</f>
        <v>763211</v>
      </c>
      <c r="E10" s="11" t="n">
        <f aca="false">(1*D8+2*D9+3*D10)/6</f>
        <v>752391.166666667</v>
      </c>
      <c r="F10" s="11" t="n">
        <f aca="false">$J$6+$J$5*C10</f>
        <v>590742.26984127</v>
      </c>
    </row>
    <row r="11" customFormat="false" ht="15" hidden="false" customHeight="false" outlineLevel="0" collapsed="false">
      <c r="B11" s="7" t="str">
        <f aca="false">'Monthly Data'!D79</f>
        <v>Jun-20</v>
      </c>
      <c r="C11" s="7" t="n">
        <f aca="false">'Monthly Data'!E79</f>
        <v>6</v>
      </c>
      <c r="D11" s="11" t="n">
        <f aca="false">'Monthly Data'!F79</f>
        <v>1024206</v>
      </c>
      <c r="E11" s="11" t="n">
        <f aca="false">(1*D9+2*D10+3*D11)/6</f>
        <v>884064.833333333</v>
      </c>
      <c r="F11" s="11" t="n">
        <f aca="false">$J$6+$J$5*C11</f>
        <v>611721.698412698</v>
      </c>
    </row>
    <row r="12" customFormat="false" ht="15" hidden="false" customHeight="false" outlineLevel="0" collapsed="false">
      <c r="B12" s="7" t="str">
        <f aca="false">'Monthly Data'!D80</f>
        <v>Jul-20</v>
      </c>
      <c r="C12" s="7" t="n">
        <f aca="false">'Monthly Data'!E80</f>
        <v>7</v>
      </c>
      <c r="D12" s="11" t="n">
        <f aca="false">'Monthly Data'!F80</f>
        <v>885858</v>
      </c>
      <c r="E12" s="11" t="n">
        <f aca="false">(1*D10+2*D11+3*D12)/6</f>
        <v>911532.833333333</v>
      </c>
      <c r="F12" s="11" t="n">
        <f aca="false">$J$6+$J$5*C12</f>
        <v>632701.126984127</v>
      </c>
    </row>
    <row r="13" customFormat="false" ht="15" hidden="false" customHeight="false" outlineLevel="0" collapsed="false">
      <c r="B13" s="7" t="str">
        <f aca="false">'Monthly Data'!D81</f>
        <v>Aug-20</v>
      </c>
      <c r="C13" s="7" t="n">
        <f aca="false">'Monthly Data'!E81</f>
        <v>8</v>
      </c>
      <c r="D13" s="11" t="n">
        <f aca="false">'Monthly Data'!F81</f>
        <v>911106</v>
      </c>
      <c r="E13" s="11" t="n">
        <f aca="false">(1*D11+2*D12+3*D13)/6</f>
        <v>921540</v>
      </c>
      <c r="F13" s="11" t="n">
        <f aca="false">$J$6+$J$5*C13</f>
        <v>653680.555555556</v>
      </c>
    </row>
    <row r="14" customFormat="false" ht="15" hidden="false" customHeight="false" outlineLevel="0" collapsed="false">
      <c r="B14" s="7" t="str">
        <f aca="false">'Monthly Data'!D82</f>
        <v>Sep-20</v>
      </c>
      <c r="C14" s="7" t="n">
        <f aca="false">'Monthly Data'!E82</f>
        <v>9</v>
      </c>
      <c r="D14" s="11" t="n">
        <f aca="false">'Monthly Data'!F82</f>
        <v>1188976</v>
      </c>
      <c r="E14" s="11" t="n">
        <f aca="false">(1*D12+2*D13+3*D14)/6</f>
        <v>1045833</v>
      </c>
      <c r="F14" s="11" t="n">
        <f aca="false">$J$6+$J$5*C14</f>
        <v>674659.984126984</v>
      </c>
    </row>
    <row r="15" customFormat="false" ht="15" hidden="false" customHeight="false" outlineLevel="0" collapsed="false">
      <c r="B15" s="7" t="str">
        <f aca="false">'Monthly Data'!D83</f>
        <v>Oct-20</v>
      </c>
      <c r="C15" s="7" t="n">
        <f aca="false">'Monthly Data'!E83</f>
        <v>10</v>
      </c>
      <c r="D15" s="11" t="n">
        <f aca="false">'Monthly Data'!F83</f>
        <v>985516</v>
      </c>
      <c r="E15" s="11" t="n">
        <f aca="false">(1*D13+2*D14+3*D15)/6</f>
        <v>1040934.33333333</v>
      </c>
      <c r="F15" s="11" t="n">
        <f aca="false">$J$6+$J$5*C15</f>
        <v>695639.412698413</v>
      </c>
    </row>
    <row r="16" customFormat="false" ht="15" hidden="false" customHeight="false" outlineLevel="0" collapsed="false">
      <c r="B16" s="7" t="str">
        <f aca="false">'Monthly Data'!D84</f>
        <v>Nov-20</v>
      </c>
      <c r="C16" s="7" t="n">
        <f aca="false">'Monthly Data'!E84</f>
        <v>11</v>
      </c>
      <c r="D16" s="11" t="n">
        <f aca="false">'Monthly Data'!F84</f>
        <v>1025684</v>
      </c>
      <c r="E16" s="11" t="n">
        <f aca="false">(1*D14+2*D15+3*D16)/6</f>
        <v>1039510</v>
      </c>
      <c r="F16" s="11" t="n">
        <f aca="false">$J$6+$J$5*C16</f>
        <v>716618.841269841</v>
      </c>
    </row>
    <row r="17" customFormat="false" ht="15" hidden="false" customHeight="false" outlineLevel="0" collapsed="false">
      <c r="B17" s="7" t="str">
        <f aca="false">'Monthly Data'!D85</f>
        <v>Dec-20</v>
      </c>
      <c r="C17" s="7" t="n">
        <f aca="false">'Monthly Data'!E85</f>
        <v>12</v>
      </c>
      <c r="D17" s="11" t="n">
        <f aca="false">'Monthly Data'!F85</f>
        <v>1319690</v>
      </c>
      <c r="E17" s="11" t="n">
        <f aca="false">(1*D15+2*D16+3*D17)/6</f>
        <v>1165992.33333333</v>
      </c>
      <c r="F17" s="11" t="n">
        <f aca="false">$J$6+$J$5*C17</f>
        <v>737598.26984127</v>
      </c>
    </row>
    <row r="18" customFormat="false" ht="15" hidden="false" customHeight="false" outlineLevel="0" collapsed="false">
      <c r="B18" s="7" t="str">
        <f aca="false">'Monthly Data'!D86</f>
        <v>Jan-21</v>
      </c>
      <c r="C18" s="7" t="n">
        <f aca="false">'Monthly Data'!E86</f>
        <v>13</v>
      </c>
      <c r="D18" s="11" t="n">
        <f aca="false">'Monthly Data'!F86</f>
        <v>219161</v>
      </c>
      <c r="E18" s="11" t="n">
        <f aca="false">(1*D16+2*D17+3*D18)/6</f>
        <v>720424.5</v>
      </c>
      <c r="F18" s="11" t="n">
        <f aca="false">$J$6+$J$5*C18</f>
        <v>758577.698412698</v>
      </c>
    </row>
    <row r="19" customFormat="false" ht="15" hidden="false" customHeight="false" outlineLevel="0" collapsed="false">
      <c r="B19" s="7" t="str">
        <f aca="false">'Monthly Data'!D87</f>
        <v>Feb-21</v>
      </c>
      <c r="C19" s="7" t="n">
        <f aca="false">'Monthly Data'!E87</f>
        <v>14</v>
      </c>
      <c r="D19" s="11" t="n">
        <f aca="false">'Monthly Data'!F87</f>
        <v>261639</v>
      </c>
      <c r="E19" s="11" t="n">
        <f aca="false">(1*D17+2*D18+3*D19)/6</f>
        <v>423821.5</v>
      </c>
      <c r="F19" s="11" t="n">
        <f aca="false">$J$6+$J$5*C19</f>
        <v>779557.126984127</v>
      </c>
    </row>
    <row r="20" customFormat="false" ht="15" hidden="false" customHeight="false" outlineLevel="0" collapsed="false">
      <c r="B20" s="7" t="str">
        <f aca="false">'Monthly Data'!D88</f>
        <v>Mar-21</v>
      </c>
      <c r="C20" s="7" t="n">
        <f aca="false">'Monthly Data'!E88</f>
        <v>15</v>
      </c>
      <c r="D20" s="11" t="n">
        <f aca="false">'Monthly Data'!F88</f>
        <v>375358</v>
      </c>
      <c r="E20" s="11" t="n">
        <f aca="false">(1*D18+2*D19+3*D20)/6</f>
        <v>311418.833333333</v>
      </c>
      <c r="F20" s="11" t="n">
        <f aca="false">$J$6+$J$5*C20</f>
        <v>800536.555555556</v>
      </c>
    </row>
    <row r="21" customFormat="false" ht="15" hidden="false" customHeight="false" outlineLevel="0" collapsed="false">
      <c r="B21" s="7" t="str">
        <f aca="false">'Monthly Data'!D89</f>
        <v>Apr-21</v>
      </c>
      <c r="C21" s="7" t="n">
        <f aca="false">'Monthly Data'!E89</f>
        <v>16</v>
      </c>
      <c r="D21" s="11" t="n">
        <f aca="false">'Monthly Data'!F89</f>
        <v>314853</v>
      </c>
      <c r="E21" s="11" t="n">
        <f aca="false">(1*D19+2*D20+3*D21)/6</f>
        <v>326152.333333333</v>
      </c>
      <c r="F21" s="11" t="n">
        <f aca="false">$J$6+$J$5*C21</f>
        <v>821515.984126984</v>
      </c>
    </row>
    <row r="22" customFormat="false" ht="15" hidden="false" customHeight="false" outlineLevel="0" collapsed="false">
      <c r="B22" s="7" t="str">
        <f aca="false">'Monthly Data'!D90</f>
        <v>May-21</v>
      </c>
      <c r="C22" s="7" t="n">
        <f aca="false">'Monthly Data'!E90</f>
        <v>17</v>
      </c>
      <c r="D22" s="11" t="n">
        <f aca="false">'Monthly Data'!F90</f>
        <v>337120</v>
      </c>
      <c r="E22" s="11" t="n">
        <f aca="false">(1*D20+2*D21+3*D22)/6</f>
        <v>336070.666666667</v>
      </c>
      <c r="F22" s="11" t="n">
        <f aca="false">$J$6+$J$5*C22</f>
        <v>842495.412698413</v>
      </c>
    </row>
    <row r="23" customFormat="false" ht="15" hidden="false" customHeight="false" outlineLevel="0" collapsed="false">
      <c r="B23" s="7" t="str">
        <f aca="false">'Monthly Data'!D91</f>
        <v>Jun-21</v>
      </c>
      <c r="C23" s="7" t="n">
        <f aca="false">'Monthly Data'!E91</f>
        <v>18</v>
      </c>
      <c r="D23" s="11" t="n">
        <f aca="false">'Monthly Data'!F91</f>
        <v>469918</v>
      </c>
      <c r="E23" s="11" t="n">
        <f aca="false">(1*D21+2*D22+3*D23)/6</f>
        <v>399807.833333333</v>
      </c>
      <c r="F23" s="11" t="n">
        <f aca="false">$J$6+$J$5*C23</f>
        <v>863474.841269841</v>
      </c>
    </row>
    <row r="24" customFormat="false" ht="15" hidden="false" customHeight="false" outlineLevel="0" collapsed="false">
      <c r="B24" s="7" t="str">
        <f aca="false">'Monthly Data'!D92</f>
        <v>Jul-21</v>
      </c>
      <c r="C24" s="7" t="n">
        <f aca="false">'Monthly Data'!E92</f>
        <v>19</v>
      </c>
      <c r="D24" s="11" t="n">
        <f aca="false">'Monthly Data'!F92</f>
        <v>426032</v>
      </c>
      <c r="E24" s="11" t="n">
        <f aca="false">(1*D22+2*D23+3*D24)/6</f>
        <v>425842</v>
      </c>
      <c r="F24" s="11" t="n">
        <f aca="false">$J$6+$J$5*C24</f>
        <v>884454.26984127</v>
      </c>
    </row>
    <row r="25" customFormat="false" ht="15" hidden="false" customHeight="false" outlineLevel="0" collapsed="false">
      <c r="B25" s="7" t="str">
        <f aca="false">'Monthly Data'!D93</f>
        <v>Aug-21</v>
      </c>
      <c r="C25" s="7" t="n">
        <f aca="false">'Monthly Data'!E93</f>
        <v>20</v>
      </c>
      <c r="D25" s="11" t="n">
        <f aca="false">'Monthly Data'!F93</f>
        <v>467240</v>
      </c>
      <c r="E25" s="11" t="n">
        <f aca="false">(1*D23+2*D24+3*D25)/6</f>
        <v>453950.333333333</v>
      </c>
      <c r="F25" s="11" t="n">
        <f aca="false">$J$6+$J$5*C25</f>
        <v>905433.698412699</v>
      </c>
    </row>
    <row r="26" customFormat="false" ht="15" hidden="false" customHeight="false" outlineLevel="0" collapsed="false">
      <c r="B26" s="7" t="str">
        <f aca="false">'Monthly Data'!D94</f>
        <v>Sep-21</v>
      </c>
      <c r="C26" s="7" t="n">
        <f aca="false">'Monthly Data'!E94</f>
        <v>21</v>
      </c>
      <c r="D26" s="11" t="n">
        <f aca="false">'Monthly Data'!F94</f>
        <v>622957</v>
      </c>
      <c r="E26" s="11" t="n">
        <f aca="false">(1*D24+2*D25+3*D26)/6</f>
        <v>538230.5</v>
      </c>
      <c r="F26" s="11" t="n">
        <f aca="false">$J$6+$J$5*C26</f>
        <v>926413.126984127</v>
      </c>
    </row>
    <row r="27" customFormat="false" ht="15" hidden="false" customHeight="false" outlineLevel="0" collapsed="false">
      <c r="B27" s="7" t="str">
        <f aca="false">'Monthly Data'!D95</f>
        <v>Oct-21</v>
      </c>
      <c r="C27" s="7" t="n">
        <f aca="false">'Monthly Data'!E95</f>
        <v>22</v>
      </c>
      <c r="D27" s="11" t="n">
        <f aca="false">'Monthly Data'!F95</f>
        <v>531440</v>
      </c>
      <c r="E27" s="11" t="n">
        <f aca="false">(1*D25+2*D26+3*D27)/6</f>
        <v>551245.666666667</v>
      </c>
      <c r="F27" s="11" t="n">
        <f aca="false">$J$6+$J$5*C27</f>
        <v>947392.555555556</v>
      </c>
    </row>
    <row r="28" customFormat="false" ht="15" hidden="false" customHeight="false" outlineLevel="0" collapsed="false">
      <c r="B28" s="7" t="str">
        <f aca="false">'Monthly Data'!D96</f>
        <v>Nov-21</v>
      </c>
      <c r="C28" s="7" t="n">
        <f aca="false">'Monthly Data'!E96</f>
        <v>23</v>
      </c>
      <c r="D28" s="11" t="n">
        <f aca="false">'Monthly Data'!F96</f>
        <v>559492</v>
      </c>
      <c r="E28" s="11" t="n">
        <f aca="false">(1*D26+2*D27+3*D28)/6</f>
        <v>560718.833333333</v>
      </c>
      <c r="F28" s="11" t="n">
        <f aca="false">$J$6+$J$5*C28</f>
        <v>968371.984126984</v>
      </c>
    </row>
    <row r="29" customFormat="false" ht="15" hidden="false" customHeight="false" outlineLevel="0" collapsed="false">
      <c r="B29" s="7" t="str">
        <f aca="false">'Monthly Data'!D97</f>
        <v>Dec-21</v>
      </c>
      <c r="C29" s="7" t="n">
        <f aca="false">'Monthly Data'!E97</f>
        <v>24</v>
      </c>
      <c r="D29" s="11" t="n">
        <f aca="false">'Monthly Data'!F97</f>
        <v>747564</v>
      </c>
      <c r="E29" s="11" t="n">
        <f aca="false">(1*D27+2*D28+3*D29)/6</f>
        <v>648852.666666667</v>
      </c>
      <c r="F29" s="11" t="n">
        <f aca="false">$J$6+$J$5*C29</f>
        <v>989351.412698413</v>
      </c>
    </row>
    <row r="30" customFormat="false" ht="15" hidden="false" customHeight="false" outlineLevel="0" collapsed="false">
      <c r="B30" s="7" t="str">
        <f aca="false">'Monthly Data'!D98</f>
        <v>Jan-22</v>
      </c>
      <c r="C30" s="7" t="n">
        <f aca="false">'Monthly Data'!E98</f>
        <v>25</v>
      </c>
      <c r="D30" s="11" t="n">
        <f aca="false">'Monthly Data'!F98</f>
        <v>697655</v>
      </c>
      <c r="E30" s="11" t="n">
        <f aca="false">(1*D28+2*D29+3*D30)/6</f>
        <v>691264.166666667</v>
      </c>
      <c r="F30" s="11" t="n">
        <f aca="false">$J$6+$J$5*C30</f>
        <v>1010330.84126984</v>
      </c>
    </row>
    <row r="31" customFormat="false" ht="15" hidden="false" customHeight="false" outlineLevel="0" collapsed="false">
      <c r="B31" s="7" t="str">
        <f aca="false">'Monthly Data'!D99</f>
        <v>Feb-22</v>
      </c>
      <c r="C31" s="7" t="n">
        <f aca="false">'Monthly Data'!E99</f>
        <v>26</v>
      </c>
      <c r="D31" s="11" t="n">
        <f aca="false">'Monthly Data'!F99</f>
        <v>841297</v>
      </c>
      <c r="E31" s="11" t="n">
        <f aca="false">(1*D29+2*D30+3*D31)/6</f>
        <v>777794.166666667</v>
      </c>
      <c r="F31" s="11" t="n">
        <f aca="false">$J$6+$J$5*C31</f>
        <v>1031310.26984127</v>
      </c>
    </row>
    <row r="32" customFormat="false" ht="15" hidden="false" customHeight="false" outlineLevel="0" collapsed="false">
      <c r="B32" s="7" t="str">
        <f aca="false">'Monthly Data'!D100</f>
        <v>Mar-22</v>
      </c>
      <c r="C32" s="7" t="n">
        <f aca="false">'Monthly Data'!E100</f>
        <v>27</v>
      </c>
      <c r="D32" s="11" t="n">
        <f aca="false">'Monthly Data'!F100</f>
        <v>1167035</v>
      </c>
      <c r="E32" s="11" t="n">
        <f aca="false">(1*D30+2*D31+3*D32)/6</f>
        <v>980225.666666667</v>
      </c>
      <c r="F32" s="11" t="n">
        <f aca="false">$J$6+$J$5*C32</f>
        <v>1052289.6984127</v>
      </c>
    </row>
    <row r="33" customFormat="false" ht="15" hidden="false" customHeight="false" outlineLevel="0" collapsed="false">
      <c r="B33" s="7" t="str">
        <f aca="false">'Monthly Data'!D101</f>
        <v>Apr-22</v>
      </c>
      <c r="C33" s="7" t="n">
        <f aca="false">'Monthly Data'!E101</f>
        <v>28</v>
      </c>
      <c r="D33" s="11" t="n">
        <f aca="false">'Monthly Data'!F101</f>
        <v>1007215</v>
      </c>
      <c r="E33" s="11" t="n">
        <f aca="false">(1*D31+2*D32+3*D33)/6</f>
        <v>1032835.33333333</v>
      </c>
      <c r="F33" s="11" t="n">
        <f aca="false">$J$6+$J$5*C33</f>
        <v>1073269.12698413</v>
      </c>
    </row>
    <row r="34" customFormat="false" ht="15" hidden="false" customHeight="false" outlineLevel="0" collapsed="false">
      <c r="B34" s="7" t="str">
        <f aca="false">'Monthly Data'!D102</f>
        <v>May-22</v>
      </c>
      <c r="C34" s="7" t="n">
        <f aca="false">'Monthly Data'!E102</f>
        <v>29</v>
      </c>
      <c r="D34" s="11" t="n">
        <f aca="false">'Monthly Data'!F102</f>
        <v>1075280</v>
      </c>
      <c r="E34" s="11" t="n">
        <f aca="false">(1*D32+2*D33+3*D34)/6</f>
        <v>1067884.16666667</v>
      </c>
      <c r="F34" s="11" t="n">
        <f aca="false">$J$6+$J$5*C34</f>
        <v>1094248.55555556</v>
      </c>
    </row>
    <row r="35" customFormat="false" ht="15" hidden="false" customHeight="false" outlineLevel="0" collapsed="false">
      <c r="B35" s="7" t="str">
        <f aca="false">'Monthly Data'!D103</f>
        <v>Jun-22</v>
      </c>
      <c r="C35" s="7" t="n">
        <f aca="false">'Monthly Data'!E103</f>
        <v>30</v>
      </c>
      <c r="D35" s="11" t="n">
        <f aca="false">'Monthly Data'!F103</f>
        <v>1449784</v>
      </c>
      <c r="E35" s="11" t="n">
        <f aca="false">(1*D33+2*D34+3*D35)/6</f>
        <v>1251187.83333333</v>
      </c>
      <c r="F35" s="11" t="n">
        <f aca="false">$J$6+$J$5*C35</f>
        <v>1115227.98412698</v>
      </c>
    </row>
    <row r="36" customFormat="false" ht="15" hidden="false" customHeight="false" outlineLevel="0" collapsed="false">
      <c r="B36" s="7" t="str">
        <f aca="false">'Monthly Data'!D104</f>
        <v>Jul-22</v>
      </c>
      <c r="C36" s="7" t="n">
        <f aca="false">'Monthly Data'!E104</f>
        <v>31</v>
      </c>
      <c r="D36" s="11" t="n">
        <f aca="false">'Monthly Data'!F104</f>
        <v>1273309</v>
      </c>
      <c r="E36" s="11" t="n">
        <f aca="false">(1*D34+2*D35+3*D36)/6</f>
        <v>1299129.16666667</v>
      </c>
      <c r="F36" s="11" t="n">
        <f aca="false">$J$6+$J$5*C36</f>
        <v>1136207.41269841</v>
      </c>
    </row>
    <row r="37" customFormat="false" ht="15" hidden="false" customHeight="false" outlineLevel="0" collapsed="false">
      <c r="B37" s="7" t="str">
        <f aca="false">'Monthly Data'!D105</f>
        <v>Aug-22</v>
      </c>
      <c r="C37" s="7" t="n">
        <f aca="false">'Monthly Data'!E105</f>
        <v>32</v>
      </c>
      <c r="D37" s="11" t="n">
        <f aca="false">'Monthly Data'!F105</f>
        <v>1333607</v>
      </c>
      <c r="E37" s="11" t="n">
        <f aca="false">(1*D35+2*D36+3*D37)/6</f>
        <v>1332870.5</v>
      </c>
      <c r="F37" s="11" t="n">
        <f aca="false">$J$6+$J$5*C37</f>
        <v>1157186.84126984</v>
      </c>
    </row>
    <row r="38" customFormat="false" ht="15" hidden="false" customHeight="false" outlineLevel="0" collapsed="false">
      <c r="B38" s="7" t="str">
        <f aca="false">'Monthly Data'!D106</f>
        <v>Sep-22</v>
      </c>
      <c r="C38" s="7" t="n">
        <f aca="false">'Monthly Data'!E106</f>
        <v>33</v>
      </c>
      <c r="D38" s="11" t="n">
        <f aca="false">'Monthly Data'!F106</f>
        <v>1731999</v>
      </c>
      <c r="E38" s="11" t="n">
        <f aca="false">(1*D36+2*D37+3*D38)/6</f>
        <v>1522753.33333333</v>
      </c>
      <c r="F38" s="11" t="n">
        <f aca="false">$J$6+$J$5*C38</f>
        <v>1178166.26984127</v>
      </c>
    </row>
    <row r="39" customFormat="false" ht="15" hidden="false" customHeight="false" outlineLevel="0" collapsed="false">
      <c r="B39" s="7" t="str">
        <f aca="false">'Monthly Data'!D107</f>
        <v>Oct-22</v>
      </c>
      <c r="C39" s="7" t="n">
        <f aca="false">'Monthly Data'!E107</f>
        <v>34</v>
      </c>
      <c r="D39" s="11" t="n">
        <f aca="false">'Monthly Data'!F107</f>
        <v>1444653</v>
      </c>
      <c r="E39" s="11" t="n">
        <f aca="false">(1*D37+2*D38+3*D39)/6</f>
        <v>1521927.33333333</v>
      </c>
      <c r="F39" s="11" t="n">
        <f aca="false">$J$6+$J$5*C39</f>
        <v>1199145.6984127</v>
      </c>
    </row>
    <row r="40" customFormat="false" ht="15" hidden="false" customHeight="false" outlineLevel="0" collapsed="false">
      <c r="B40" s="7" t="str">
        <f aca="false">'Monthly Data'!D108</f>
        <v>Nov-22</v>
      </c>
      <c r="C40" s="7" t="n">
        <f aca="false">'Monthly Data'!E108</f>
        <v>35</v>
      </c>
      <c r="D40" s="11" t="n">
        <f aca="false">'Monthly Data'!F108</f>
        <v>1488893</v>
      </c>
      <c r="E40" s="11" t="n">
        <f aca="false">(1*D38+2*D39+3*D40)/6</f>
        <v>1514664</v>
      </c>
      <c r="F40" s="11" t="n">
        <f aca="false">$J$6+$J$5*C40</f>
        <v>1220125.12698413</v>
      </c>
    </row>
    <row r="41" customFormat="false" ht="15" hidden="false" customHeight="false" outlineLevel="0" collapsed="false">
      <c r="B41" s="7" t="str">
        <f aca="false">'Monthly Data'!D109</f>
        <v>Dec-22</v>
      </c>
      <c r="C41" s="7" t="n">
        <f aca="false">'Monthly Data'!E109</f>
        <v>36</v>
      </c>
      <c r="D41" s="11" t="n">
        <f aca="false">'Monthly Data'!F109</f>
        <v>1855391</v>
      </c>
      <c r="E41" s="11" t="n">
        <f aca="false">(1*D39+2*D40+3*D41)/6</f>
        <v>1664768.66666667</v>
      </c>
      <c r="F41" s="11" t="n">
        <f aca="false">$J$6+$J$5*C41</f>
        <v>1241104.55555556</v>
      </c>
    </row>
    <row r="42" customFormat="false" ht="15" hidden="false" customHeight="false" outlineLevel="0" collapsed="false">
      <c r="B42" s="14" t="s">
        <v>83</v>
      </c>
      <c r="C42" s="14" t="n">
        <v>37</v>
      </c>
      <c r="D42" s="14"/>
      <c r="E42" s="15" t="n">
        <f aca="false">(1*D39+2*D40+3*D41)/6</f>
        <v>1664768.66666667</v>
      </c>
      <c r="F42" s="15" t="n">
        <f aca="false">$J$6+$J$5*C42</f>
        <v>1262083.98412698</v>
      </c>
    </row>
    <row r="43" customFormat="false" ht="15" hidden="false" customHeight="false" outlineLevel="0" collapsed="false">
      <c r="B43" s="14" t="s">
        <v>84</v>
      </c>
      <c r="C43" s="14" t="n">
        <v>38</v>
      </c>
      <c r="D43" s="14"/>
      <c r="E43" s="15" t="n">
        <f aca="false">(1*D40+2*D41+3*E42)/6</f>
        <v>1698996.83333333</v>
      </c>
      <c r="F43" s="15" t="n">
        <f aca="false">$J$6+$J$5*C43</f>
        <v>1283063.41269841</v>
      </c>
    </row>
    <row r="44" customFormat="false" ht="15" hidden="false" customHeight="false" outlineLevel="0" collapsed="false">
      <c r="B44" s="14" t="s">
        <v>85</v>
      </c>
      <c r="C44" s="14" t="n">
        <v>39</v>
      </c>
      <c r="D44" s="14"/>
      <c r="E44" s="15" t="n">
        <f aca="false">(1*D41+2*E42+3*E43)/6</f>
        <v>1713653.13888889</v>
      </c>
      <c r="F44" s="15" t="n">
        <f aca="false">$J$6+$J$5*C44</f>
        <v>1304042.84126984</v>
      </c>
    </row>
    <row r="47" customFormat="false" ht="15" hidden="false" customHeight="false" outlineLevel="0" collapsed="false">
      <c r="B47" s="4" t="s">
        <v>86</v>
      </c>
    </row>
    <row r="48" customFormat="false" ht="48" hidden="false" customHeight="true" outlineLevel="0" collapsed="false">
      <c r="B48" s="5" t="s">
        <v>98</v>
      </c>
      <c r="C48" s="5"/>
      <c r="D48" s="5"/>
      <c r="E48" s="5"/>
      <c r="F48" s="5"/>
      <c r="G48" s="5"/>
    </row>
    <row r="51" customFormat="false" ht="15" hidden="false" customHeight="false" outlineLevel="0" collapsed="false">
      <c r="B51" s="4" t="s">
        <v>88</v>
      </c>
    </row>
    <row r="52" customFormat="false" ht="30" hidden="false" customHeight="true" outlineLevel="0" collapsed="false">
      <c r="B52" s="5" t="s">
        <v>99</v>
      </c>
      <c r="C52" s="5"/>
      <c r="D52" s="5"/>
      <c r="E52" s="5"/>
      <c r="F52" s="5"/>
      <c r="G52" s="5"/>
    </row>
    <row r="53" customFormat="false" ht="30" hidden="false" customHeight="true" outlineLevel="0" collapsed="false">
      <c r="B53" s="5" t="s">
        <v>100</v>
      </c>
      <c r="C53" s="5"/>
      <c r="D53" s="5"/>
      <c r="E53" s="5"/>
      <c r="F53" s="5"/>
      <c r="G53" s="5"/>
    </row>
  </sheetData>
  <mergeCells count="4">
    <mergeCell ref="B3:G3"/>
    <mergeCell ref="B48:G48"/>
    <mergeCell ref="B52:G52"/>
    <mergeCell ref="B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8" min="7" style="0" width="4"/>
    <col collapsed="false" customWidth="true" hidden="false" outlineLevel="0" max="10" min="9" style="0" width="14"/>
  </cols>
  <sheetData>
    <row r="2" customFormat="false" ht="19.7" hidden="false" customHeight="false" outlineLevel="0" collapsed="false">
      <c r="B2" s="1" t="s">
        <v>101</v>
      </c>
    </row>
    <row r="3" customFormat="false" ht="31.5" hidden="false" customHeight="true" outlineLevel="0" collapsed="false">
      <c r="B3" s="5" t="s">
        <v>102</v>
      </c>
      <c r="C3" s="5"/>
      <c r="D3" s="5"/>
      <c r="E3" s="5"/>
      <c r="F3" s="5"/>
      <c r="G3" s="5"/>
    </row>
    <row r="4" customFormat="false" ht="15" hidden="false" customHeight="false" outlineLevel="0" collapsed="false">
      <c r="I4" s="4" t="s">
        <v>75</v>
      </c>
    </row>
    <row r="5" customFormat="false" ht="15" hidden="false" customHeight="false" outlineLevel="0" collapsed="false">
      <c r="B5" s="6" t="s">
        <v>24</v>
      </c>
      <c r="C5" s="6" t="s">
        <v>26</v>
      </c>
      <c r="D5" s="6" t="s">
        <v>76</v>
      </c>
      <c r="E5" s="6" t="s">
        <v>77</v>
      </c>
      <c r="F5" s="6" t="s">
        <v>78</v>
      </c>
      <c r="I5" s="9" t="s">
        <v>79</v>
      </c>
      <c r="J5" s="10" t="n">
        <f aca="false">SLOPE(D6:D41,C6:C41)</f>
        <v>1607.48661518662</v>
      </c>
    </row>
    <row r="6" customFormat="false" ht="15" hidden="false" customHeight="false" outlineLevel="0" collapsed="false">
      <c r="B6" s="7" t="str">
        <f aca="false">'Monthly Data'!D110</f>
        <v>Jan-20</v>
      </c>
      <c r="C6" s="7" t="n">
        <f aca="false">'Monthly Data'!E110</f>
        <v>1</v>
      </c>
      <c r="D6" s="11" t="n">
        <f aca="false">'Monthly Data'!F110</f>
        <v>541327</v>
      </c>
      <c r="E6" s="11"/>
      <c r="F6" s="11" t="n">
        <f aca="false">$J$6+$J$5*C6</f>
        <v>521655.845345345</v>
      </c>
      <c r="I6" s="9" t="s">
        <v>80</v>
      </c>
      <c r="J6" s="10" t="n">
        <f aca="false">INTERCEPT(D6:D41,C6:C41)</f>
        <v>520048.358730159</v>
      </c>
    </row>
    <row r="7" customFormat="false" ht="15" hidden="false" customHeight="false" outlineLevel="0" collapsed="false">
      <c r="B7" s="7" t="str">
        <f aca="false">'Monthly Data'!D111</f>
        <v>Feb-20</v>
      </c>
      <c r="C7" s="7" t="n">
        <f aca="false">'Monthly Data'!E111</f>
        <v>2</v>
      </c>
      <c r="D7" s="11" t="n">
        <f aca="false">'Monthly Data'!F111</f>
        <v>543521</v>
      </c>
      <c r="E7" s="11"/>
      <c r="F7" s="11" t="n">
        <f aca="false">$J$6+$J$5*C7</f>
        <v>523263.331960532</v>
      </c>
      <c r="I7" s="9" t="s">
        <v>81</v>
      </c>
      <c r="J7" s="12" t="n">
        <f aca="false">RSQ(D6:D41,C6:C41)</f>
        <v>0.130056642427284</v>
      </c>
    </row>
    <row r="8" customFormat="false" ht="15" hidden="false" customHeight="false" outlineLevel="0" collapsed="false">
      <c r="B8" s="7" t="str">
        <f aca="false">'Monthly Data'!D112</f>
        <v>Mar-20</v>
      </c>
      <c r="C8" s="7" t="n">
        <f aca="false">'Monthly Data'!E112</f>
        <v>3</v>
      </c>
      <c r="D8" s="11" t="n">
        <f aca="false">'Monthly Data'!F112</f>
        <v>553236</v>
      </c>
      <c r="E8" s="11" t="n">
        <f aca="false">(1*D6+2*D7+3*D8)/6</f>
        <v>548012.833333333</v>
      </c>
      <c r="F8" s="11" t="n">
        <f aca="false">$J$6+$J$5*C8</f>
        <v>524870.818575719</v>
      </c>
      <c r="I8" s="9" t="s">
        <v>82</v>
      </c>
      <c r="J8" s="13" t="n">
        <f aca="false">AVERAGE('Monthly Data'!I110:I145)</f>
        <v>0.00445195756388639</v>
      </c>
    </row>
    <row r="9" customFormat="false" ht="15" hidden="false" customHeight="false" outlineLevel="0" collapsed="false">
      <c r="B9" s="7" t="str">
        <f aca="false">'Monthly Data'!D113</f>
        <v>Apr-20</v>
      </c>
      <c r="C9" s="7" t="n">
        <f aca="false">'Monthly Data'!E113</f>
        <v>4</v>
      </c>
      <c r="D9" s="11" t="n">
        <f aca="false">'Monthly Data'!F113</f>
        <v>559221</v>
      </c>
      <c r="E9" s="11" t="n">
        <f aca="false">(1*D7+2*D8+3*D9)/6</f>
        <v>554609.333333333</v>
      </c>
      <c r="F9" s="11" t="n">
        <f aca="false">$J$6+$J$5*C9</f>
        <v>526478.305190905</v>
      </c>
    </row>
    <row r="10" customFormat="false" ht="15" hidden="false" customHeight="false" outlineLevel="0" collapsed="false">
      <c r="B10" s="7" t="str">
        <f aca="false">'Monthly Data'!D114</f>
        <v>May-20</v>
      </c>
      <c r="C10" s="7" t="n">
        <f aca="false">'Monthly Data'!E114</f>
        <v>5</v>
      </c>
      <c r="D10" s="11" t="n">
        <f aca="false">'Monthly Data'!F114</f>
        <v>562852</v>
      </c>
      <c r="E10" s="11" t="n">
        <f aca="false">(1*D8+2*D9+3*D10)/6</f>
        <v>560039</v>
      </c>
      <c r="F10" s="11" t="n">
        <f aca="false">$J$6+$J$5*C10</f>
        <v>528085.791806092</v>
      </c>
    </row>
    <row r="11" customFormat="false" ht="15" hidden="false" customHeight="false" outlineLevel="0" collapsed="false">
      <c r="B11" s="7" t="str">
        <f aca="false">'Monthly Data'!D115</f>
        <v>Jun-20</v>
      </c>
      <c r="C11" s="7" t="n">
        <f aca="false">'Monthly Data'!E115</f>
        <v>6</v>
      </c>
      <c r="D11" s="11" t="n">
        <f aca="false">'Monthly Data'!F115</f>
        <v>564236</v>
      </c>
      <c r="E11" s="11" t="n">
        <f aca="false">(1*D9+2*D10+3*D11)/6</f>
        <v>562938.833333333</v>
      </c>
      <c r="F11" s="11" t="n">
        <f aca="false">$J$6+$J$5*C11</f>
        <v>529693.278421279</v>
      </c>
    </row>
    <row r="12" customFormat="false" ht="15" hidden="false" customHeight="false" outlineLevel="0" collapsed="false">
      <c r="B12" s="7" t="str">
        <f aca="false">'Monthly Data'!D116</f>
        <v>Jul-20</v>
      </c>
      <c r="C12" s="7" t="n">
        <f aca="false">'Monthly Data'!E116</f>
        <v>7</v>
      </c>
      <c r="D12" s="11" t="n">
        <f aca="false">'Monthly Data'!F116</f>
        <v>568222</v>
      </c>
      <c r="E12" s="11" t="n">
        <f aca="false">(1*D10+2*D11+3*D12)/6</f>
        <v>565998.333333333</v>
      </c>
      <c r="F12" s="11" t="n">
        <f aca="false">$J$6+$J$5*C12</f>
        <v>531300.765036465</v>
      </c>
    </row>
    <row r="13" customFormat="false" ht="15" hidden="false" customHeight="false" outlineLevel="0" collapsed="false">
      <c r="B13" s="7" t="str">
        <f aca="false">'Monthly Data'!D117</f>
        <v>Aug-20</v>
      </c>
      <c r="C13" s="7" t="n">
        <f aca="false">'Monthly Data'!E117</f>
        <v>8</v>
      </c>
      <c r="D13" s="11" t="n">
        <f aca="false">'Monthly Data'!F117</f>
        <v>571200</v>
      </c>
      <c r="E13" s="11" t="n">
        <f aca="false">(1*D11+2*D12+3*D13)/6</f>
        <v>569046.666666667</v>
      </c>
      <c r="F13" s="11" t="n">
        <f aca="false">$J$6+$J$5*C13</f>
        <v>532908.251651652</v>
      </c>
    </row>
    <row r="14" customFormat="false" ht="15" hidden="false" customHeight="false" outlineLevel="0" collapsed="false">
      <c r="B14" s="7" t="str">
        <f aca="false">'Monthly Data'!D118</f>
        <v>Sep-20</v>
      </c>
      <c r="C14" s="7" t="n">
        <f aca="false">'Monthly Data'!E118</f>
        <v>9</v>
      </c>
      <c r="D14" s="11" t="n">
        <f aca="false">'Monthly Data'!F118</f>
        <v>573632</v>
      </c>
      <c r="E14" s="11" t="n">
        <f aca="false">(1*D12+2*D13+3*D14)/6</f>
        <v>571919.666666667</v>
      </c>
      <c r="F14" s="11" t="n">
        <f aca="false">$J$6+$J$5*C14</f>
        <v>534515.738266838</v>
      </c>
    </row>
    <row r="15" customFormat="false" ht="15" hidden="false" customHeight="false" outlineLevel="0" collapsed="false">
      <c r="B15" s="7" t="str">
        <f aca="false">'Monthly Data'!D119</f>
        <v>Oct-20</v>
      </c>
      <c r="C15" s="7" t="n">
        <f aca="false">'Monthly Data'!E119</f>
        <v>10</v>
      </c>
      <c r="D15" s="11" t="n">
        <f aca="false">'Monthly Data'!F119</f>
        <v>575121</v>
      </c>
      <c r="E15" s="11" t="n">
        <f aca="false">(1*D13+2*D14+3*D15)/6</f>
        <v>573971.166666667</v>
      </c>
      <c r="F15" s="11" t="n">
        <f aca="false">$J$6+$J$5*C15</f>
        <v>536123.224882025</v>
      </c>
    </row>
    <row r="16" customFormat="false" ht="15" hidden="false" customHeight="false" outlineLevel="0" collapsed="false">
      <c r="B16" s="7" t="str">
        <f aca="false">'Monthly Data'!D120</f>
        <v>Nov-20</v>
      </c>
      <c r="C16" s="7" t="n">
        <f aca="false">'Monthly Data'!E120</f>
        <v>11</v>
      </c>
      <c r="D16" s="11" t="n">
        <f aca="false">'Monthly Data'!F120</f>
        <v>580537</v>
      </c>
      <c r="E16" s="11" t="n">
        <f aca="false">(1*D14+2*D15+3*D16)/6</f>
        <v>577580.833333333</v>
      </c>
      <c r="F16" s="11" t="n">
        <f aca="false">$J$6+$J$5*C16</f>
        <v>537730.711497212</v>
      </c>
    </row>
    <row r="17" customFormat="false" ht="15" hidden="false" customHeight="false" outlineLevel="0" collapsed="false">
      <c r="B17" s="7" t="str">
        <f aca="false">'Monthly Data'!D121</f>
        <v>Dec-20</v>
      </c>
      <c r="C17" s="7" t="n">
        <f aca="false">'Monthly Data'!E121</f>
        <v>12</v>
      </c>
      <c r="D17" s="11" t="n">
        <f aca="false">'Monthly Data'!F121</f>
        <v>582923</v>
      </c>
      <c r="E17" s="11" t="n">
        <f aca="false">(1*D15+2*D16+3*D17)/6</f>
        <v>580827.333333333</v>
      </c>
      <c r="F17" s="11" t="n">
        <f aca="false">$J$6+$J$5*C17</f>
        <v>539338.198112398</v>
      </c>
    </row>
    <row r="18" customFormat="false" ht="15" hidden="false" customHeight="false" outlineLevel="0" collapsed="false">
      <c r="B18" s="7" t="str">
        <f aca="false">'Monthly Data'!D122</f>
        <v>Jan-21</v>
      </c>
      <c r="C18" s="7" t="n">
        <f aca="false">'Monthly Data'!E122</f>
        <v>13</v>
      </c>
      <c r="D18" s="11" t="n">
        <f aca="false">'Monthly Data'!F122</f>
        <v>460896</v>
      </c>
      <c r="E18" s="11" t="n">
        <f aca="false">(1*D16+2*D17+3*D18)/6</f>
        <v>521511.833333333</v>
      </c>
      <c r="F18" s="11" t="n">
        <f aca="false">$J$6+$J$5*C18</f>
        <v>540945.684727585</v>
      </c>
    </row>
    <row r="19" customFormat="false" ht="15" hidden="false" customHeight="false" outlineLevel="0" collapsed="false">
      <c r="B19" s="7" t="str">
        <f aca="false">'Monthly Data'!D123</f>
        <v>Feb-21</v>
      </c>
      <c r="C19" s="7" t="n">
        <f aca="false">'Monthly Data'!E123</f>
        <v>14</v>
      </c>
      <c r="D19" s="11" t="n">
        <f aca="false">'Monthly Data'!F123</f>
        <v>465852</v>
      </c>
      <c r="E19" s="11" t="n">
        <f aca="false">(1*D17+2*D18+3*D19)/6</f>
        <v>483711.833333333</v>
      </c>
      <c r="F19" s="11" t="n">
        <f aca="false">$J$6+$J$5*C19</f>
        <v>542553.171342771</v>
      </c>
    </row>
    <row r="20" customFormat="false" ht="15" hidden="false" customHeight="false" outlineLevel="0" collapsed="false">
      <c r="B20" s="7" t="str">
        <f aca="false">'Monthly Data'!D124</f>
        <v>Mar-21</v>
      </c>
      <c r="C20" s="7" t="n">
        <f aca="false">'Monthly Data'!E124</f>
        <v>15</v>
      </c>
      <c r="D20" s="11" t="n">
        <f aca="false">'Monthly Data'!F124</f>
        <v>469521</v>
      </c>
      <c r="E20" s="11" t="n">
        <f aca="false">(1*D18+2*D19+3*D20)/6</f>
        <v>466860.5</v>
      </c>
      <c r="F20" s="11" t="n">
        <f aca="false">$J$6+$J$5*C20</f>
        <v>544160.657957958</v>
      </c>
    </row>
    <row r="21" customFormat="false" ht="15" hidden="false" customHeight="false" outlineLevel="0" collapsed="false">
      <c r="B21" s="7" t="str">
        <f aca="false">'Monthly Data'!D125</f>
        <v>Apr-21</v>
      </c>
      <c r="C21" s="7" t="n">
        <f aca="false">'Monthly Data'!E125</f>
        <v>16</v>
      </c>
      <c r="D21" s="11" t="n">
        <f aca="false">'Monthly Data'!F125</f>
        <v>477201</v>
      </c>
      <c r="E21" s="11" t="n">
        <f aca="false">(1*D19+2*D20+3*D21)/6</f>
        <v>472749.5</v>
      </c>
      <c r="F21" s="11" t="n">
        <f aca="false">$J$6+$J$5*C21</f>
        <v>545768.144573145</v>
      </c>
    </row>
    <row r="22" customFormat="false" ht="15" hidden="false" customHeight="false" outlineLevel="0" collapsed="false">
      <c r="B22" s="7" t="str">
        <f aca="false">'Monthly Data'!D126</f>
        <v>May-21</v>
      </c>
      <c r="C22" s="7" t="n">
        <f aca="false">'Monthly Data'!E126</f>
        <v>17</v>
      </c>
      <c r="D22" s="11" t="n">
        <f aca="false">'Monthly Data'!F126</f>
        <v>479231</v>
      </c>
      <c r="E22" s="11" t="n">
        <f aca="false">(1*D20+2*D21+3*D22)/6</f>
        <v>476936</v>
      </c>
      <c r="F22" s="11" t="n">
        <f aca="false">$J$6+$J$5*C22</f>
        <v>547375.631188331</v>
      </c>
    </row>
    <row r="23" customFormat="false" ht="15" hidden="false" customHeight="false" outlineLevel="0" collapsed="false">
      <c r="B23" s="7" t="str">
        <f aca="false">'Monthly Data'!D127</f>
        <v>Jun-21</v>
      </c>
      <c r="C23" s="7" t="n">
        <f aca="false">'Monthly Data'!E127</f>
        <v>18</v>
      </c>
      <c r="D23" s="11" t="n">
        <f aca="false">'Monthly Data'!F127</f>
        <v>482369</v>
      </c>
      <c r="E23" s="11" t="n">
        <f aca="false">(1*D21+2*D22+3*D23)/6</f>
        <v>480461.666666667</v>
      </c>
      <c r="F23" s="11" t="n">
        <f aca="false">$J$6+$J$5*C23</f>
        <v>548983.117803518</v>
      </c>
    </row>
    <row r="24" customFormat="false" ht="15" hidden="false" customHeight="false" outlineLevel="0" collapsed="false">
      <c r="B24" s="7" t="str">
        <f aca="false">'Monthly Data'!D128</f>
        <v>Jul-21</v>
      </c>
      <c r="C24" s="7" t="n">
        <f aca="false">'Monthly Data'!E128</f>
        <v>19</v>
      </c>
      <c r="D24" s="11" t="n">
        <f aca="false">'Monthly Data'!F128</f>
        <v>492112</v>
      </c>
      <c r="E24" s="11" t="n">
        <f aca="false">(1*D22+2*D23+3*D24)/6</f>
        <v>486717.5</v>
      </c>
      <c r="F24" s="11" t="n">
        <f aca="false">$J$6+$J$5*C24</f>
        <v>550590.604418704</v>
      </c>
    </row>
    <row r="25" customFormat="false" ht="15" hidden="false" customHeight="false" outlineLevel="0" collapsed="false">
      <c r="B25" s="7" t="str">
        <f aca="false">'Monthly Data'!D129</f>
        <v>Aug-21</v>
      </c>
      <c r="C25" s="7" t="n">
        <f aca="false">'Monthly Data'!E129</f>
        <v>20</v>
      </c>
      <c r="D25" s="11" t="n">
        <f aca="false">'Monthly Data'!F129</f>
        <v>499202</v>
      </c>
      <c r="E25" s="11" t="n">
        <f aca="false">(1*D23+2*D24+3*D25)/6</f>
        <v>494033.166666667</v>
      </c>
      <c r="F25" s="11" t="n">
        <f aca="false">$J$6+$J$5*C25</f>
        <v>552198.091033891</v>
      </c>
    </row>
    <row r="26" customFormat="false" ht="15" hidden="false" customHeight="false" outlineLevel="0" collapsed="false">
      <c r="B26" s="7" t="str">
        <f aca="false">'Monthly Data'!D130</f>
        <v>Sep-21</v>
      </c>
      <c r="C26" s="7" t="n">
        <f aca="false">'Monthly Data'!E130</f>
        <v>21</v>
      </c>
      <c r="D26" s="11" t="n">
        <f aca="false">'Monthly Data'!F130</f>
        <v>510563</v>
      </c>
      <c r="E26" s="11" t="n">
        <f aca="false">(1*D24+2*D25+3*D26)/6</f>
        <v>503700.833333333</v>
      </c>
      <c r="F26" s="11" t="n">
        <f aca="false">$J$6+$J$5*C26</f>
        <v>553805.577649078</v>
      </c>
    </row>
    <row r="27" customFormat="false" ht="15" hidden="false" customHeight="false" outlineLevel="0" collapsed="false">
      <c r="B27" s="7" t="str">
        <f aca="false">'Monthly Data'!D131</f>
        <v>Oct-21</v>
      </c>
      <c r="C27" s="7" t="n">
        <f aca="false">'Monthly Data'!E131</f>
        <v>22</v>
      </c>
      <c r="D27" s="11" t="n">
        <f aca="false">'Monthly Data'!F131</f>
        <v>512236</v>
      </c>
      <c r="E27" s="11" t="n">
        <f aca="false">(1*D25+2*D26+3*D27)/6</f>
        <v>509506</v>
      </c>
      <c r="F27" s="11" t="n">
        <f aca="false">$J$6+$J$5*C27</f>
        <v>555413.064264264</v>
      </c>
    </row>
    <row r="28" customFormat="false" ht="15" hidden="false" customHeight="false" outlineLevel="0" collapsed="false">
      <c r="B28" s="7" t="str">
        <f aca="false">'Monthly Data'!D132</f>
        <v>Nov-21</v>
      </c>
      <c r="C28" s="7" t="n">
        <f aca="false">'Monthly Data'!E132</f>
        <v>23</v>
      </c>
      <c r="D28" s="11" t="n">
        <f aca="false">'Monthly Data'!F132</f>
        <v>523568</v>
      </c>
      <c r="E28" s="11" t="n">
        <f aca="false">(1*D26+2*D27+3*D28)/6</f>
        <v>517623.166666667</v>
      </c>
      <c r="F28" s="11" t="n">
        <f aca="false">$J$6+$J$5*C28</f>
        <v>557020.550879451</v>
      </c>
    </row>
    <row r="29" customFormat="false" ht="15" hidden="false" customHeight="false" outlineLevel="0" collapsed="false">
      <c r="B29" s="7" t="str">
        <f aca="false">'Monthly Data'!D133</f>
        <v>Dec-21</v>
      </c>
      <c r="C29" s="7" t="n">
        <f aca="false">'Monthly Data'!E133</f>
        <v>24</v>
      </c>
      <c r="D29" s="11" t="n">
        <f aca="false">'Monthly Data'!F133</f>
        <v>528221</v>
      </c>
      <c r="E29" s="11" t="n">
        <f aca="false">(1*D27+2*D28+3*D29)/6</f>
        <v>524005.833333333</v>
      </c>
      <c r="F29" s="11" t="n">
        <f aca="false">$J$6+$J$5*C29</f>
        <v>558628.037494638</v>
      </c>
    </row>
    <row r="30" customFormat="false" ht="15" hidden="false" customHeight="false" outlineLevel="0" collapsed="false">
      <c r="B30" s="7" t="str">
        <f aca="false">'Monthly Data'!D134</f>
        <v>Jan-22</v>
      </c>
      <c r="C30" s="7" t="n">
        <f aca="false">'Monthly Data'!E134</f>
        <v>25</v>
      </c>
      <c r="D30" s="11" t="n">
        <f aca="false">'Monthly Data'!F134</f>
        <v>562201</v>
      </c>
      <c r="E30" s="11" t="n">
        <f aca="false">(1*D28+2*D29+3*D30)/6</f>
        <v>544435.5</v>
      </c>
      <c r="F30" s="11" t="n">
        <f aca="false">$J$6+$J$5*C30</f>
        <v>560235.524109824</v>
      </c>
    </row>
    <row r="31" customFormat="false" ht="15" hidden="false" customHeight="false" outlineLevel="0" collapsed="false">
      <c r="B31" s="7" t="str">
        <f aca="false">'Monthly Data'!D135</f>
        <v>Feb-22</v>
      </c>
      <c r="C31" s="7" t="n">
        <f aca="false">'Monthly Data'!E135</f>
        <v>26</v>
      </c>
      <c r="D31" s="11" t="n">
        <f aca="false">'Monthly Data'!F135</f>
        <v>566231</v>
      </c>
      <c r="E31" s="11" t="n">
        <f aca="false">(1*D29+2*D30+3*D31)/6</f>
        <v>558552.666666667</v>
      </c>
      <c r="F31" s="11" t="n">
        <f aca="false">$J$6+$J$5*C31</f>
        <v>561843.010725011</v>
      </c>
    </row>
    <row r="32" customFormat="false" ht="15" hidden="false" customHeight="false" outlineLevel="0" collapsed="false">
      <c r="B32" s="7" t="str">
        <f aca="false">'Monthly Data'!D136</f>
        <v>Mar-22</v>
      </c>
      <c r="C32" s="7" t="n">
        <f aca="false">'Monthly Data'!E136</f>
        <v>27</v>
      </c>
      <c r="D32" s="11" t="n">
        <f aca="false">'Monthly Data'!F136</f>
        <v>578210</v>
      </c>
      <c r="E32" s="11" t="n">
        <f aca="false">(1*D30+2*D31+3*D32)/6</f>
        <v>571548.833333333</v>
      </c>
      <c r="F32" s="11" t="n">
        <f aca="false">$J$6+$J$5*C32</f>
        <v>563450.497340197</v>
      </c>
    </row>
    <row r="33" customFormat="false" ht="15" hidden="false" customHeight="false" outlineLevel="0" collapsed="false">
      <c r="B33" s="7" t="str">
        <f aca="false">'Monthly Data'!D137</f>
        <v>Apr-22</v>
      </c>
      <c r="C33" s="7" t="n">
        <f aca="false">'Monthly Data'!E137</f>
        <v>28</v>
      </c>
      <c r="D33" s="11" t="n">
        <f aca="false">'Monthly Data'!F137</f>
        <v>582417</v>
      </c>
      <c r="E33" s="11" t="n">
        <f aca="false">(1*D31+2*D32+3*D33)/6</f>
        <v>578317</v>
      </c>
      <c r="F33" s="11" t="n">
        <f aca="false">$J$6+$J$5*C33</f>
        <v>565057.983955384</v>
      </c>
    </row>
    <row r="34" customFormat="false" ht="15" hidden="false" customHeight="false" outlineLevel="0" collapsed="false">
      <c r="B34" s="7" t="str">
        <f aca="false">'Monthly Data'!D138</f>
        <v>May-22</v>
      </c>
      <c r="C34" s="7" t="n">
        <f aca="false">'Monthly Data'!E138</f>
        <v>29</v>
      </c>
      <c r="D34" s="11" t="n">
        <f aca="false">'Monthly Data'!F138</f>
        <v>586231</v>
      </c>
      <c r="E34" s="11" t="n">
        <f aca="false">(1*D32+2*D33+3*D34)/6</f>
        <v>583622.833333333</v>
      </c>
      <c r="F34" s="11" t="n">
        <f aca="false">$J$6+$J$5*C34</f>
        <v>566665.470570571</v>
      </c>
    </row>
    <row r="35" customFormat="false" ht="15" hidden="false" customHeight="false" outlineLevel="0" collapsed="false">
      <c r="B35" s="7" t="str">
        <f aca="false">'Monthly Data'!D139</f>
        <v>Jun-22</v>
      </c>
      <c r="C35" s="7" t="n">
        <f aca="false">'Monthly Data'!E139</f>
        <v>30</v>
      </c>
      <c r="D35" s="11" t="n">
        <f aca="false">'Monthly Data'!F139</f>
        <v>590220</v>
      </c>
      <c r="E35" s="11" t="n">
        <f aca="false">(1*D33+2*D34+3*D35)/6</f>
        <v>587589.833333333</v>
      </c>
      <c r="F35" s="11" t="n">
        <f aca="false">$J$6+$J$5*C35</f>
        <v>568272.957185757</v>
      </c>
    </row>
    <row r="36" customFormat="false" ht="15" hidden="false" customHeight="false" outlineLevel="0" collapsed="false">
      <c r="B36" s="7" t="str">
        <f aca="false">'Monthly Data'!D140</f>
        <v>Jul-22</v>
      </c>
      <c r="C36" s="7" t="n">
        <f aca="false">'Monthly Data'!E140</f>
        <v>31</v>
      </c>
      <c r="D36" s="11" t="n">
        <f aca="false">'Monthly Data'!F140</f>
        <v>593262</v>
      </c>
      <c r="E36" s="11" t="n">
        <f aca="false">(1*D34+2*D35+3*D36)/6</f>
        <v>591076.166666667</v>
      </c>
      <c r="F36" s="11" t="n">
        <f aca="false">$J$6+$J$5*C36</f>
        <v>569880.443800944</v>
      </c>
    </row>
    <row r="37" customFormat="false" ht="15" hidden="false" customHeight="false" outlineLevel="0" collapsed="false">
      <c r="B37" s="7" t="str">
        <f aca="false">'Monthly Data'!D141</f>
        <v>Aug-22</v>
      </c>
      <c r="C37" s="7" t="n">
        <f aca="false">'Monthly Data'!E141</f>
        <v>32</v>
      </c>
      <c r="D37" s="11" t="n">
        <f aca="false">'Monthly Data'!F141</f>
        <v>598000</v>
      </c>
      <c r="E37" s="11" t="n">
        <f aca="false">(1*D35+2*D36+3*D37)/6</f>
        <v>595124</v>
      </c>
      <c r="F37" s="11" t="n">
        <f aca="false">$J$6+$J$5*C37</f>
        <v>571487.930416131</v>
      </c>
    </row>
    <row r="38" customFormat="false" ht="15" hidden="false" customHeight="false" outlineLevel="0" collapsed="false">
      <c r="B38" s="7" t="str">
        <f aca="false">'Monthly Data'!D142</f>
        <v>Sep-22</v>
      </c>
      <c r="C38" s="7" t="n">
        <f aca="false">'Monthly Data'!E142</f>
        <v>33</v>
      </c>
      <c r="D38" s="11" t="n">
        <f aca="false">'Monthly Data'!F142</f>
        <v>609201</v>
      </c>
      <c r="E38" s="11" t="n">
        <f aca="false">(1*D36+2*D37+3*D38)/6</f>
        <v>602810.833333333</v>
      </c>
      <c r="F38" s="11" t="n">
        <f aca="false">$J$6+$J$5*C38</f>
        <v>573095.417031317</v>
      </c>
    </row>
    <row r="39" customFormat="false" ht="15" hidden="false" customHeight="false" outlineLevel="0" collapsed="false">
      <c r="B39" s="7" t="str">
        <f aca="false">'Monthly Data'!D143</f>
        <v>Oct-22</v>
      </c>
      <c r="C39" s="7" t="n">
        <f aca="false">'Monthly Data'!E143</f>
        <v>34</v>
      </c>
      <c r="D39" s="11" t="n">
        <f aca="false">'Monthly Data'!F143</f>
        <v>612285</v>
      </c>
      <c r="E39" s="11" t="n">
        <f aca="false">(1*D37+2*D38+3*D39)/6</f>
        <v>608876.166666667</v>
      </c>
      <c r="F39" s="11" t="n">
        <f aca="false">$J$6+$J$5*C39</f>
        <v>574702.903646504</v>
      </c>
    </row>
    <row r="40" customFormat="false" ht="15" hidden="false" customHeight="false" outlineLevel="0" collapsed="false">
      <c r="B40" s="7" t="str">
        <f aca="false">'Monthly Data'!D144</f>
        <v>Nov-22</v>
      </c>
      <c r="C40" s="7" t="n">
        <f aca="false">'Monthly Data'!E144</f>
        <v>35</v>
      </c>
      <c r="D40" s="11" t="n">
        <f aca="false">'Monthly Data'!F144</f>
        <v>615869</v>
      </c>
      <c r="E40" s="11" t="n">
        <f aca="false">(1*D38+2*D39+3*D40)/6</f>
        <v>613563</v>
      </c>
      <c r="F40" s="11" t="n">
        <f aca="false">$J$6+$J$5*C40</f>
        <v>576310.39026169</v>
      </c>
    </row>
    <row r="41" customFormat="false" ht="15" hidden="false" customHeight="false" outlineLevel="0" collapsed="false">
      <c r="B41" s="7" t="str">
        <f aca="false">'Monthly Data'!D145</f>
        <v>Dec-22</v>
      </c>
      <c r="C41" s="7" t="n">
        <f aca="false">'Monthly Data'!E145</f>
        <v>36</v>
      </c>
      <c r="D41" s="11" t="n">
        <f aca="false">'Monthly Data'!F145</f>
        <v>621200</v>
      </c>
      <c r="E41" s="11" t="n">
        <f aca="false">(1*D39+2*D40+3*D41)/6</f>
        <v>617937.166666667</v>
      </c>
      <c r="F41" s="11" t="n">
        <f aca="false">$J$6+$J$5*C41</f>
        <v>577917.876876877</v>
      </c>
    </row>
    <row r="42" customFormat="false" ht="15" hidden="false" customHeight="false" outlineLevel="0" collapsed="false">
      <c r="B42" s="14" t="s">
        <v>83</v>
      </c>
      <c r="C42" s="14" t="n">
        <v>37</v>
      </c>
      <c r="D42" s="14"/>
      <c r="E42" s="15" t="n">
        <f aca="false">(1*D39+2*D40+3*D41)/6</f>
        <v>617937.166666667</v>
      </c>
      <c r="F42" s="15" t="n">
        <f aca="false">$J$6+$J$5*C42</f>
        <v>579525.363492064</v>
      </c>
    </row>
    <row r="43" customFormat="false" ht="15" hidden="false" customHeight="false" outlineLevel="0" collapsed="false">
      <c r="B43" s="14" t="s">
        <v>84</v>
      </c>
      <c r="C43" s="14" t="n">
        <v>38</v>
      </c>
      <c r="D43" s="14"/>
      <c r="E43" s="15" t="n">
        <f aca="false">(1*D40+2*D41+3*E42)/6</f>
        <v>618680.083333333</v>
      </c>
      <c r="F43" s="15" t="n">
        <f aca="false">$J$6+$J$5*C43</f>
        <v>581132.85010725</v>
      </c>
    </row>
    <row r="44" customFormat="false" ht="15" hidden="false" customHeight="false" outlineLevel="0" collapsed="false">
      <c r="B44" s="14" t="s">
        <v>85</v>
      </c>
      <c r="C44" s="14" t="n">
        <v>39</v>
      </c>
      <c r="D44" s="14"/>
      <c r="E44" s="15" t="n">
        <f aca="false">(1*D41+2*E42+3*E43)/6</f>
        <v>618852.430555556</v>
      </c>
      <c r="F44" s="15" t="n">
        <f aca="false">$J$6+$J$5*C44</f>
        <v>582740.336722437</v>
      </c>
    </row>
    <row r="47" customFormat="false" ht="15" hidden="false" customHeight="false" outlineLevel="0" collapsed="false">
      <c r="B47" s="4" t="s">
        <v>86</v>
      </c>
    </row>
    <row r="48" customFormat="false" ht="48" hidden="false" customHeight="true" outlineLevel="0" collapsed="false">
      <c r="B48" s="5" t="s">
        <v>87</v>
      </c>
      <c r="C48" s="5"/>
      <c r="D48" s="5"/>
      <c r="E48" s="5"/>
      <c r="F48" s="5"/>
      <c r="G48" s="5"/>
    </row>
    <row r="51" customFormat="false" ht="15" hidden="false" customHeight="false" outlineLevel="0" collapsed="false">
      <c r="B51" s="4" t="s">
        <v>88</v>
      </c>
    </row>
    <row r="52" customFormat="false" ht="30" hidden="false" customHeight="true" outlineLevel="0" collapsed="false">
      <c r="B52" s="5" t="s">
        <v>103</v>
      </c>
      <c r="C52" s="5"/>
      <c r="D52" s="5"/>
      <c r="E52" s="5"/>
      <c r="F52" s="5"/>
      <c r="G52" s="5"/>
    </row>
    <row r="53" customFormat="false" ht="30" hidden="false" customHeight="true" outlineLevel="0" collapsed="false">
      <c r="B53" s="5" t="s">
        <v>104</v>
      </c>
      <c r="C53" s="5"/>
      <c r="D53" s="5"/>
      <c r="E53" s="5"/>
      <c r="F53" s="5"/>
      <c r="G53" s="5"/>
    </row>
  </sheetData>
  <mergeCells count="4">
    <mergeCell ref="B3:G3"/>
    <mergeCell ref="B48:G48"/>
    <mergeCell ref="B52:G52"/>
    <mergeCell ref="B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8" min="7" style="0" width="4"/>
    <col collapsed="false" customWidth="true" hidden="false" outlineLevel="0" max="10" min="9" style="0" width="14"/>
  </cols>
  <sheetData>
    <row r="2" customFormat="false" ht="19.7" hidden="false" customHeight="false" outlineLevel="0" collapsed="false">
      <c r="B2" s="1" t="s">
        <v>105</v>
      </c>
    </row>
    <row r="3" customFormat="false" ht="31.5" hidden="false" customHeight="true" outlineLevel="0" collapsed="false">
      <c r="B3" s="5" t="s">
        <v>106</v>
      </c>
      <c r="C3" s="5"/>
      <c r="D3" s="5"/>
      <c r="E3" s="5"/>
      <c r="F3" s="5"/>
      <c r="G3" s="5"/>
    </row>
    <row r="4" customFormat="false" ht="15" hidden="false" customHeight="false" outlineLevel="0" collapsed="false">
      <c r="I4" s="4" t="s">
        <v>75</v>
      </c>
    </row>
    <row r="5" customFormat="false" ht="15" hidden="false" customHeight="false" outlineLevel="0" collapsed="false">
      <c r="B5" s="6" t="s">
        <v>24</v>
      </c>
      <c r="C5" s="6" t="s">
        <v>26</v>
      </c>
      <c r="D5" s="6" t="s">
        <v>76</v>
      </c>
      <c r="E5" s="6" t="s">
        <v>77</v>
      </c>
      <c r="F5" s="6" t="s">
        <v>78</v>
      </c>
      <c r="I5" s="9" t="s">
        <v>79</v>
      </c>
      <c r="J5" s="10" t="n">
        <f aca="false">SLOPE(D6:D41,C6:C41)</f>
        <v>548.48712998713</v>
      </c>
    </row>
    <row r="6" customFormat="false" ht="15" hidden="false" customHeight="false" outlineLevel="0" collapsed="false">
      <c r="B6" s="7" t="str">
        <f aca="false">'Monthly Data'!D146</f>
        <v>Jan-20</v>
      </c>
      <c r="C6" s="7" t="n">
        <f aca="false">'Monthly Data'!E146</f>
        <v>1</v>
      </c>
      <c r="D6" s="11" t="n">
        <f aca="false">'Monthly Data'!F146</f>
        <v>231222</v>
      </c>
      <c r="E6" s="11"/>
      <c r="F6" s="11" t="n">
        <f aca="false">$J$6+$J$5*C6</f>
        <v>232201.558558559</v>
      </c>
      <c r="I6" s="9" t="s">
        <v>80</v>
      </c>
      <c r="J6" s="10" t="n">
        <f aca="false">INTERCEPT(D6:D41,C6:C41)</f>
        <v>231653.071428571</v>
      </c>
    </row>
    <row r="7" customFormat="false" ht="15" hidden="false" customHeight="false" outlineLevel="0" collapsed="false">
      <c r="B7" s="7" t="str">
        <f aca="false">'Monthly Data'!D147</f>
        <v>Feb-20</v>
      </c>
      <c r="C7" s="7" t="n">
        <f aca="false">'Monthly Data'!E147</f>
        <v>2</v>
      </c>
      <c r="D7" s="11" t="n">
        <f aca="false">'Monthly Data'!F147</f>
        <v>235584</v>
      </c>
      <c r="E7" s="11"/>
      <c r="F7" s="11" t="n">
        <f aca="false">$J$6+$J$5*C7</f>
        <v>232750.045688546</v>
      </c>
      <c r="I7" s="9" t="s">
        <v>81</v>
      </c>
      <c r="J7" s="12" t="n">
        <f aca="false">RSQ(D6:D41,C6:C41)</f>
        <v>0.0521421729186527</v>
      </c>
    </row>
    <row r="8" customFormat="false" ht="15" hidden="false" customHeight="false" outlineLevel="0" collapsed="false">
      <c r="B8" s="7" t="str">
        <f aca="false">'Monthly Data'!D148</f>
        <v>Mar-20</v>
      </c>
      <c r="C8" s="7" t="n">
        <f aca="false">'Monthly Data'!E148</f>
        <v>3</v>
      </c>
      <c r="D8" s="11" t="n">
        <f aca="false">'Monthly Data'!F148</f>
        <v>239896</v>
      </c>
      <c r="E8" s="11" t="n">
        <f aca="false">(1*D6+2*D7+3*D8)/6</f>
        <v>237013</v>
      </c>
      <c r="F8" s="11" t="n">
        <f aca="false">$J$6+$J$5*C8</f>
        <v>233298.532818533</v>
      </c>
      <c r="I8" s="9" t="s">
        <v>82</v>
      </c>
      <c r="J8" s="13" t="n">
        <f aca="false">AVERAGE('Monthly Data'!I146:I181)</f>
        <v>0.0040290999830953</v>
      </c>
    </row>
    <row r="9" customFormat="false" ht="15" hidden="false" customHeight="false" outlineLevel="0" collapsed="false">
      <c r="B9" s="7" t="str">
        <f aca="false">'Monthly Data'!D149</f>
        <v>Apr-20</v>
      </c>
      <c r="C9" s="7" t="n">
        <f aca="false">'Monthly Data'!E149</f>
        <v>4</v>
      </c>
      <c r="D9" s="11" t="n">
        <f aca="false">'Monthly Data'!F149</f>
        <v>243569</v>
      </c>
      <c r="E9" s="11" t="n">
        <f aca="false">(1*D7+2*D8+3*D9)/6</f>
        <v>241013.833333333</v>
      </c>
      <c r="F9" s="11" t="n">
        <f aca="false">$J$6+$J$5*C9</f>
        <v>233847.01994852</v>
      </c>
    </row>
    <row r="10" customFormat="false" ht="15" hidden="false" customHeight="false" outlineLevel="0" collapsed="false">
      <c r="B10" s="7" t="str">
        <f aca="false">'Monthly Data'!D150</f>
        <v>May-20</v>
      </c>
      <c r="C10" s="7" t="n">
        <f aca="false">'Monthly Data'!E150</f>
        <v>5</v>
      </c>
      <c r="D10" s="11" t="n">
        <f aca="false">'Monthly Data'!F150</f>
        <v>247598</v>
      </c>
      <c r="E10" s="11" t="n">
        <f aca="false">(1*D8+2*D9+3*D10)/6</f>
        <v>244971.333333333</v>
      </c>
      <c r="F10" s="11" t="n">
        <f aca="false">$J$6+$J$5*C10</f>
        <v>234395.507078507</v>
      </c>
    </row>
    <row r="11" customFormat="false" ht="15" hidden="false" customHeight="false" outlineLevel="0" collapsed="false">
      <c r="B11" s="7" t="str">
        <f aca="false">'Monthly Data'!D151</f>
        <v>Jun-20</v>
      </c>
      <c r="C11" s="7" t="n">
        <f aca="false">'Monthly Data'!E151</f>
        <v>6</v>
      </c>
      <c r="D11" s="11" t="n">
        <f aca="false">'Monthly Data'!F151</f>
        <v>249263</v>
      </c>
      <c r="E11" s="11" t="n">
        <f aca="false">(1*D9+2*D10+3*D11)/6</f>
        <v>247759</v>
      </c>
      <c r="F11" s="11" t="n">
        <f aca="false">$J$6+$J$5*C11</f>
        <v>234943.994208494</v>
      </c>
    </row>
    <row r="12" customFormat="false" ht="15" hidden="false" customHeight="false" outlineLevel="0" collapsed="false">
      <c r="B12" s="7" t="str">
        <f aca="false">'Monthly Data'!D152</f>
        <v>Jul-20</v>
      </c>
      <c r="C12" s="7" t="n">
        <f aca="false">'Monthly Data'!E152</f>
        <v>7</v>
      </c>
      <c r="D12" s="11" t="n">
        <f aca="false">'Monthly Data'!F152</f>
        <v>254896</v>
      </c>
      <c r="E12" s="11" t="n">
        <f aca="false">(1*D10+2*D11+3*D12)/6</f>
        <v>251802</v>
      </c>
      <c r="F12" s="11" t="n">
        <f aca="false">$J$6+$J$5*C12</f>
        <v>235492.481338481</v>
      </c>
    </row>
    <row r="13" customFormat="false" ht="15" hidden="false" customHeight="false" outlineLevel="0" collapsed="false">
      <c r="B13" s="7" t="str">
        <f aca="false">'Monthly Data'!D153</f>
        <v>Aug-20</v>
      </c>
      <c r="C13" s="7" t="n">
        <f aca="false">'Monthly Data'!E153</f>
        <v>8</v>
      </c>
      <c r="D13" s="11" t="n">
        <f aca="false">'Monthly Data'!F153</f>
        <v>258100</v>
      </c>
      <c r="E13" s="11" t="n">
        <f aca="false">(1*D11+2*D12+3*D13)/6</f>
        <v>255559.166666667</v>
      </c>
      <c r="F13" s="11" t="n">
        <f aca="false">$J$6+$J$5*C13</f>
        <v>236040.968468469</v>
      </c>
    </row>
    <row r="14" customFormat="false" ht="15" hidden="false" customHeight="false" outlineLevel="0" collapsed="false">
      <c r="B14" s="7" t="str">
        <f aca="false">'Monthly Data'!D154</f>
        <v>Sep-20</v>
      </c>
      <c r="C14" s="7" t="n">
        <f aca="false">'Monthly Data'!E154</f>
        <v>9</v>
      </c>
      <c r="D14" s="11" t="n">
        <f aca="false">'Monthly Data'!F154</f>
        <v>268200</v>
      </c>
      <c r="E14" s="11" t="n">
        <f aca="false">(1*D12+2*D13+3*D14)/6</f>
        <v>262616</v>
      </c>
      <c r="F14" s="11" t="n">
        <f aca="false">$J$6+$J$5*C14</f>
        <v>236589.455598456</v>
      </c>
    </row>
    <row r="15" customFormat="false" ht="15" hidden="false" customHeight="false" outlineLevel="0" collapsed="false">
      <c r="B15" s="7" t="str">
        <f aca="false">'Monthly Data'!D155</f>
        <v>Oct-20</v>
      </c>
      <c r="C15" s="7" t="n">
        <f aca="false">'Monthly Data'!E155</f>
        <v>10</v>
      </c>
      <c r="D15" s="11" t="n">
        <f aca="false">'Monthly Data'!F155</f>
        <v>269587</v>
      </c>
      <c r="E15" s="11" t="n">
        <f aca="false">(1*D13+2*D14+3*D15)/6</f>
        <v>267210.166666667</v>
      </c>
      <c r="F15" s="11" t="n">
        <f aca="false">$J$6+$J$5*C15</f>
        <v>237137.942728443</v>
      </c>
    </row>
    <row r="16" customFormat="false" ht="15" hidden="false" customHeight="false" outlineLevel="0" collapsed="false">
      <c r="B16" s="7" t="str">
        <f aca="false">'Monthly Data'!D156</f>
        <v>Nov-20</v>
      </c>
      <c r="C16" s="7" t="n">
        <f aca="false">'Monthly Data'!E156</f>
        <v>11</v>
      </c>
      <c r="D16" s="11" t="n">
        <f aca="false">'Monthly Data'!F156</f>
        <v>275598</v>
      </c>
      <c r="E16" s="11" t="n">
        <f aca="false">(1*D14+2*D15+3*D16)/6</f>
        <v>272361.333333333</v>
      </c>
      <c r="F16" s="11" t="n">
        <f aca="false">$J$6+$J$5*C16</f>
        <v>237686.42985843</v>
      </c>
    </row>
    <row r="17" customFormat="false" ht="15" hidden="false" customHeight="false" outlineLevel="0" collapsed="false">
      <c r="B17" s="7" t="str">
        <f aca="false">'Monthly Data'!D157</f>
        <v>Dec-20</v>
      </c>
      <c r="C17" s="7" t="n">
        <f aca="false">'Monthly Data'!E157</f>
        <v>12</v>
      </c>
      <c r="D17" s="11" t="n">
        <f aca="false">'Monthly Data'!F157</f>
        <v>278522</v>
      </c>
      <c r="E17" s="11" t="n">
        <f aca="false">(1*D15+2*D16+3*D17)/6</f>
        <v>276058.166666667</v>
      </c>
      <c r="F17" s="11" t="n">
        <f aca="false">$J$6+$J$5*C17</f>
        <v>238234.916988417</v>
      </c>
    </row>
    <row r="18" customFormat="false" ht="15" hidden="false" customHeight="false" outlineLevel="0" collapsed="false">
      <c r="B18" s="7" t="str">
        <f aca="false">'Monthly Data'!D158</f>
        <v>Jan-21</v>
      </c>
      <c r="C18" s="7" t="n">
        <f aca="false">'Monthly Data'!E158</f>
        <v>13</v>
      </c>
      <c r="D18" s="11" t="n">
        <f aca="false">'Monthly Data'!F158</f>
        <v>189265</v>
      </c>
      <c r="E18" s="11" t="n">
        <f aca="false">(1*D16+2*D17+3*D18)/6</f>
        <v>233406.166666667</v>
      </c>
      <c r="F18" s="11" t="n">
        <f aca="false">$J$6+$J$5*C18</f>
        <v>238783.404118404</v>
      </c>
    </row>
    <row r="19" customFormat="false" ht="15" hidden="false" customHeight="false" outlineLevel="0" collapsed="false">
      <c r="B19" s="7" t="str">
        <f aca="false">'Monthly Data'!D159</f>
        <v>Feb-21</v>
      </c>
      <c r="C19" s="7" t="n">
        <f aca="false">'Monthly Data'!E159</f>
        <v>14</v>
      </c>
      <c r="D19" s="11" t="n">
        <f aca="false">'Monthly Data'!F159</f>
        <v>195588</v>
      </c>
      <c r="E19" s="11" t="n">
        <f aca="false">(1*D17+2*D18+3*D19)/6</f>
        <v>207302.666666667</v>
      </c>
      <c r="F19" s="11" t="n">
        <f aca="false">$J$6+$J$5*C19</f>
        <v>239331.891248391</v>
      </c>
    </row>
    <row r="20" customFormat="false" ht="15" hidden="false" customHeight="false" outlineLevel="0" collapsed="false">
      <c r="B20" s="7" t="str">
        <f aca="false">'Monthly Data'!D160</f>
        <v>Mar-21</v>
      </c>
      <c r="C20" s="7" t="n">
        <f aca="false">'Monthly Data'!E160</f>
        <v>15</v>
      </c>
      <c r="D20" s="11" t="n">
        <f aca="false">'Monthly Data'!F160</f>
        <v>198526</v>
      </c>
      <c r="E20" s="11" t="n">
        <f aca="false">(1*D18+2*D19+3*D20)/6</f>
        <v>196003.166666667</v>
      </c>
      <c r="F20" s="11" t="n">
        <f aca="false">$J$6+$J$5*C20</f>
        <v>239880.378378378</v>
      </c>
    </row>
    <row r="21" customFormat="false" ht="15" hidden="false" customHeight="false" outlineLevel="0" collapsed="false">
      <c r="B21" s="7" t="str">
        <f aca="false">'Monthly Data'!D161</f>
        <v>Apr-21</v>
      </c>
      <c r="C21" s="7" t="n">
        <f aca="false">'Monthly Data'!E161</f>
        <v>16</v>
      </c>
      <c r="D21" s="11" t="n">
        <f aca="false">'Monthly Data'!F161</f>
        <v>201235</v>
      </c>
      <c r="E21" s="11" t="n">
        <f aca="false">(1*D19+2*D20+3*D21)/6</f>
        <v>199390.833333333</v>
      </c>
      <c r="F21" s="11" t="n">
        <f aca="false">$J$6+$J$5*C21</f>
        <v>240428.865508366</v>
      </c>
    </row>
    <row r="22" customFormat="false" ht="15" hidden="false" customHeight="false" outlineLevel="0" collapsed="false">
      <c r="B22" s="7" t="str">
        <f aca="false">'Monthly Data'!D162</f>
        <v>May-21</v>
      </c>
      <c r="C22" s="7" t="n">
        <f aca="false">'Monthly Data'!E162</f>
        <v>17</v>
      </c>
      <c r="D22" s="11" t="n">
        <f aca="false">'Monthly Data'!F162</f>
        <v>210256</v>
      </c>
      <c r="E22" s="11" t="n">
        <f aca="false">(1*D20+2*D21+3*D22)/6</f>
        <v>205294</v>
      </c>
      <c r="F22" s="11" t="n">
        <f aca="false">$J$6+$J$5*C22</f>
        <v>240977.352638353</v>
      </c>
    </row>
    <row r="23" customFormat="false" ht="15" hidden="false" customHeight="false" outlineLevel="0" collapsed="false">
      <c r="B23" s="7" t="str">
        <f aca="false">'Monthly Data'!D163</f>
        <v>Jun-21</v>
      </c>
      <c r="C23" s="7" t="n">
        <f aca="false">'Monthly Data'!E163</f>
        <v>18</v>
      </c>
      <c r="D23" s="11" t="n">
        <f aca="false">'Monthly Data'!F163</f>
        <v>215588</v>
      </c>
      <c r="E23" s="11" t="n">
        <f aca="false">(1*D21+2*D22+3*D23)/6</f>
        <v>211418.5</v>
      </c>
      <c r="F23" s="11" t="n">
        <f aca="false">$J$6+$J$5*C23</f>
        <v>241525.83976834</v>
      </c>
    </row>
    <row r="24" customFormat="false" ht="15" hidden="false" customHeight="false" outlineLevel="0" collapsed="false">
      <c r="B24" s="7" t="str">
        <f aca="false">'Monthly Data'!D164</f>
        <v>Jul-21</v>
      </c>
      <c r="C24" s="7" t="n">
        <f aca="false">'Monthly Data'!E164</f>
        <v>19</v>
      </c>
      <c r="D24" s="11" t="n">
        <f aca="false">'Monthly Data'!F164</f>
        <v>216639</v>
      </c>
      <c r="E24" s="11" t="n">
        <f aca="false">(1*D22+2*D23+3*D24)/6</f>
        <v>215224.833333333</v>
      </c>
      <c r="F24" s="11" t="n">
        <f aca="false">$J$6+$J$5*C24</f>
        <v>242074.326898327</v>
      </c>
    </row>
    <row r="25" customFormat="false" ht="15" hidden="false" customHeight="false" outlineLevel="0" collapsed="false">
      <c r="B25" s="7" t="str">
        <f aca="false">'Monthly Data'!D165</f>
        <v>Aug-21</v>
      </c>
      <c r="C25" s="7" t="n">
        <f aca="false">'Monthly Data'!E165</f>
        <v>20</v>
      </c>
      <c r="D25" s="11" t="n">
        <f aca="false">'Monthly Data'!F165</f>
        <v>222584</v>
      </c>
      <c r="E25" s="11" t="n">
        <f aca="false">(1*D23+2*D24+3*D25)/6</f>
        <v>219436.333333333</v>
      </c>
      <c r="F25" s="11" t="n">
        <f aca="false">$J$6+$J$5*C25</f>
        <v>242622.814028314</v>
      </c>
    </row>
    <row r="26" customFormat="false" ht="15" hidden="false" customHeight="false" outlineLevel="0" collapsed="false">
      <c r="B26" s="7" t="str">
        <f aca="false">'Monthly Data'!D166</f>
        <v>Sep-21</v>
      </c>
      <c r="C26" s="7" t="n">
        <f aca="false">'Monthly Data'!E166</f>
        <v>21</v>
      </c>
      <c r="D26" s="11" t="n">
        <f aca="false">'Monthly Data'!F166</f>
        <v>232569</v>
      </c>
      <c r="E26" s="11" t="n">
        <f aca="false">(1*D24+2*D25+3*D26)/6</f>
        <v>226585.666666667</v>
      </c>
      <c r="F26" s="11" t="n">
        <f aca="false">$J$6+$J$5*C26</f>
        <v>243171.301158301</v>
      </c>
    </row>
    <row r="27" customFormat="false" ht="15" hidden="false" customHeight="false" outlineLevel="0" collapsed="false">
      <c r="B27" s="7" t="str">
        <f aca="false">'Monthly Data'!D167</f>
        <v>Oct-21</v>
      </c>
      <c r="C27" s="7" t="n">
        <f aca="false">'Monthly Data'!E167</f>
        <v>22</v>
      </c>
      <c r="D27" s="11" t="n">
        <f aca="false">'Monthly Data'!F167</f>
        <v>237895</v>
      </c>
      <c r="E27" s="11" t="n">
        <f aca="false">(1*D25+2*D26+3*D27)/6</f>
        <v>233567.833333333</v>
      </c>
      <c r="F27" s="11" t="n">
        <f aca="false">$J$6+$J$5*C27</f>
        <v>243719.788288288</v>
      </c>
    </row>
    <row r="28" customFormat="false" ht="15" hidden="false" customHeight="false" outlineLevel="0" collapsed="false">
      <c r="B28" s="7" t="str">
        <f aca="false">'Monthly Data'!D168</f>
        <v>Nov-21</v>
      </c>
      <c r="C28" s="7" t="n">
        <f aca="false">'Monthly Data'!E168</f>
        <v>23</v>
      </c>
      <c r="D28" s="11" t="n">
        <f aca="false">'Monthly Data'!F168</f>
        <v>240212</v>
      </c>
      <c r="E28" s="11" t="n">
        <f aca="false">(1*D26+2*D27+3*D28)/6</f>
        <v>238165.833333333</v>
      </c>
      <c r="F28" s="11" t="n">
        <f aca="false">$J$6+$J$5*C28</f>
        <v>244268.275418275</v>
      </c>
    </row>
    <row r="29" customFormat="false" ht="15" hidden="false" customHeight="false" outlineLevel="0" collapsed="false">
      <c r="B29" s="7" t="str">
        <f aca="false">'Monthly Data'!D169</f>
        <v>Dec-21</v>
      </c>
      <c r="C29" s="7" t="n">
        <f aca="false">'Monthly Data'!E169</f>
        <v>24</v>
      </c>
      <c r="D29" s="11" t="n">
        <f aca="false">'Monthly Data'!F169</f>
        <v>246258</v>
      </c>
      <c r="E29" s="11" t="n">
        <f aca="false">(1*D27+2*D28+3*D29)/6</f>
        <v>242848.833333333</v>
      </c>
      <c r="F29" s="11" t="n">
        <f aca="false">$J$6+$J$5*C29</f>
        <v>244816.762548263</v>
      </c>
    </row>
    <row r="30" customFormat="false" ht="15" hidden="false" customHeight="false" outlineLevel="0" collapsed="false">
      <c r="B30" s="7" t="str">
        <f aca="false">'Monthly Data'!D170</f>
        <v>Jan-22</v>
      </c>
      <c r="C30" s="7" t="n">
        <f aca="false">'Monthly Data'!E170</f>
        <v>25</v>
      </c>
      <c r="D30" s="11" t="n">
        <f aca="false">'Monthly Data'!F170</f>
        <v>221869</v>
      </c>
      <c r="E30" s="11" t="n">
        <f aca="false">(1*D28+2*D29+3*D30)/6</f>
        <v>233055.833333333</v>
      </c>
      <c r="F30" s="11" t="n">
        <f aca="false">$J$6+$J$5*C30</f>
        <v>245365.24967825</v>
      </c>
    </row>
    <row r="31" customFormat="false" ht="15" hidden="false" customHeight="false" outlineLevel="0" collapsed="false">
      <c r="B31" s="7" t="str">
        <f aca="false">'Monthly Data'!D171</f>
        <v>Feb-22</v>
      </c>
      <c r="C31" s="7" t="n">
        <f aca="false">'Monthly Data'!E171</f>
        <v>26</v>
      </c>
      <c r="D31" s="11" t="n">
        <f aca="false">'Monthly Data'!F171</f>
        <v>226896</v>
      </c>
      <c r="E31" s="11" t="n">
        <f aca="false">(1*D29+2*D30+3*D31)/6</f>
        <v>228447.333333333</v>
      </c>
      <c r="F31" s="11" t="n">
        <f aca="false">$J$6+$J$5*C31</f>
        <v>245913.736808237</v>
      </c>
    </row>
    <row r="32" customFormat="false" ht="15" hidden="false" customHeight="false" outlineLevel="0" collapsed="false">
      <c r="B32" s="7" t="str">
        <f aca="false">'Monthly Data'!D172</f>
        <v>Mar-22</v>
      </c>
      <c r="C32" s="7" t="n">
        <f aca="false">'Monthly Data'!E172</f>
        <v>27</v>
      </c>
      <c r="D32" s="11" t="n">
        <f aca="false">'Monthly Data'!F172</f>
        <v>236563</v>
      </c>
      <c r="E32" s="11" t="n">
        <f aca="false">(1*D30+2*D31+3*D32)/6</f>
        <v>230891.666666667</v>
      </c>
      <c r="F32" s="11" t="n">
        <f aca="false">$J$6+$J$5*C32</f>
        <v>246462.223938224</v>
      </c>
    </row>
    <row r="33" customFormat="false" ht="15" hidden="false" customHeight="false" outlineLevel="0" collapsed="false">
      <c r="B33" s="7" t="str">
        <f aca="false">'Monthly Data'!D173</f>
        <v>Apr-22</v>
      </c>
      <c r="C33" s="7" t="n">
        <f aca="false">'Monthly Data'!E173</f>
        <v>28</v>
      </c>
      <c r="D33" s="11" t="n">
        <f aca="false">'Monthly Data'!F173</f>
        <v>238874</v>
      </c>
      <c r="E33" s="11" t="n">
        <f aca="false">(1*D31+2*D32+3*D33)/6</f>
        <v>236107.333333333</v>
      </c>
      <c r="F33" s="11" t="n">
        <f aca="false">$J$6+$J$5*C33</f>
        <v>247010.711068211</v>
      </c>
    </row>
    <row r="34" customFormat="false" ht="15" hidden="false" customHeight="false" outlineLevel="0" collapsed="false">
      <c r="B34" s="7" t="str">
        <f aca="false">'Monthly Data'!D174</f>
        <v>May-22</v>
      </c>
      <c r="C34" s="7" t="n">
        <f aca="false">'Monthly Data'!E174</f>
        <v>29</v>
      </c>
      <c r="D34" s="11" t="n">
        <f aca="false">'Monthly Data'!F174</f>
        <v>245110</v>
      </c>
      <c r="E34" s="11" t="n">
        <f aca="false">(1*D32+2*D33+3*D34)/6</f>
        <v>241606.833333333</v>
      </c>
      <c r="F34" s="11" t="n">
        <f aca="false">$J$6+$J$5*C34</f>
        <v>247559.198198198</v>
      </c>
    </row>
    <row r="35" customFormat="false" ht="15" hidden="false" customHeight="false" outlineLevel="0" collapsed="false">
      <c r="B35" s="7" t="str">
        <f aca="false">'Monthly Data'!D175</f>
        <v>Jun-22</v>
      </c>
      <c r="C35" s="7" t="n">
        <f aca="false">'Monthly Data'!E175</f>
        <v>30</v>
      </c>
      <c r="D35" s="11" t="n">
        <f aca="false">'Monthly Data'!F175</f>
        <v>249236</v>
      </c>
      <c r="E35" s="11" t="n">
        <f aca="false">(1*D33+2*D34+3*D35)/6</f>
        <v>246133.666666667</v>
      </c>
      <c r="F35" s="11" t="n">
        <f aca="false">$J$6+$J$5*C35</f>
        <v>248107.685328185</v>
      </c>
    </row>
    <row r="36" customFormat="false" ht="15" hidden="false" customHeight="false" outlineLevel="0" collapsed="false">
      <c r="B36" s="7" t="str">
        <f aca="false">'Monthly Data'!D176</f>
        <v>Jul-22</v>
      </c>
      <c r="C36" s="7" t="n">
        <f aca="false">'Monthly Data'!E176</f>
        <v>31</v>
      </c>
      <c r="D36" s="11" t="n">
        <f aca="false">'Monthly Data'!F176</f>
        <v>256963</v>
      </c>
      <c r="E36" s="11" t="n">
        <f aca="false">(1*D34+2*D35+3*D36)/6</f>
        <v>252411.833333333</v>
      </c>
      <c r="F36" s="11" t="n">
        <f aca="false">$J$6+$J$5*C36</f>
        <v>248656.172458172</v>
      </c>
    </row>
    <row r="37" customFormat="false" ht="15" hidden="false" customHeight="false" outlineLevel="0" collapsed="false">
      <c r="B37" s="7" t="str">
        <f aca="false">'Monthly Data'!D177</f>
        <v>Aug-22</v>
      </c>
      <c r="C37" s="7" t="n">
        <f aca="false">'Monthly Data'!E177</f>
        <v>32</v>
      </c>
      <c r="D37" s="11" t="n">
        <f aca="false">'Monthly Data'!F177</f>
        <v>261110</v>
      </c>
      <c r="E37" s="11" t="n">
        <f aca="false">(1*D35+2*D36+3*D37)/6</f>
        <v>257748.666666667</v>
      </c>
      <c r="F37" s="11" t="n">
        <f aca="false">$J$6+$J$5*C37</f>
        <v>249204.65958816</v>
      </c>
    </row>
    <row r="38" customFormat="false" ht="15" hidden="false" customHeight="false" outlineLevel="0" collapsed="false">
      <c r="B38" s="7" t="str">
        <f aca="false">'Monthly Data'!D178</f>
        <v>Sep-22</v>
      </c>
      <c r="C38" s="7" t="n">
        <f aca="false">'Monthly Data'!E178</f>
        <v>33</v>
      </c>
      <c r="D38" s="11" t="n">
        <f aca="false">'Monthly Data'!F178</f>
        <v>268741</v>
      </c>
      <c r="E38" s="11" t="n">
        <f aca="false">(1*D36+2*D37+3*D38)/6</f>
        <v>264234.333333333</v>
      </c>
      <c r="F38" s="11" t="n">
        <f aca="false">$J$6+$J$5*C38</f>
        <v>249753.146718147</v>
      </c>
    </row>
    <row r="39" customFormat="false" ht="15" hidden="false" customHeight="false" outlineLevel="0" collapsed="false">
      <c r="B39" s="7" t="str">
        <f aca="false">'Monthly Data'!D179</f>
        <v>Oct-22</v>
      </c>
      <c r="C39" s="7" t="n">
        <f aca="false">'Monthly Data'!E179</f>
        <v>34</v>
      </c>
      <c r="D39" s="11" t="n">
        <f aca="false">'Monthly Data'!F179</f>
        <v>275302</v>
      </c>
      <c r="E39" s="11" t="n">
        <f aca="false">(1*D37+2*D38+3*D39)/6</f>
        <v>270749.666666667</v>
      </c>
      <c r="F39" s="11" t="n">
        <f aca="false">$J$6+$J$5*C39</f>
        <v>250301.633848134</v>
      </c>
    </row>
    <row r="40" customFormat="false" ht="15" hidden="false" customHeight="false" outlineLevel="0" collapsed="false">
      <c r="B40" s="7" t="str">
        <f aca="false">'Monthly Data'!D180</f>
        <v>Nov-22</v>
      </c>
      <c r="C40" s="7" t="n">
        <f aca="false">'Monthly Data'!E180</f>
        <v>35</v>
      </c>
      <c r="D40" s="11" t="n">
        <f aca="false">'Monthly Data'!F180</f>
        <v>279231</v>
      </c>
      <c r="E40" s="11" t="n">
        <f aca="false">(1*D38+2*D39+3*D40)/6</f>
        <v>276173</v>
      </c>
      <c r="F40" s="11" t="n">
        <f aca="false">$J$6+$J$5*C40</f>
        <v>250850.120978121</v>
      </c>
    </row>
    <row r="41" customFormat="false" ht="15" hidden="false" customHeight="false" outlineLevel="0" collapsed="false">
      <c r="B41" s="7" t="str">
        <f aca="false">'Monthly Data'!D181</f>
        <v>Dec-22</v>
      </c>
      <c r="C41" s="7" t="n">
        <f aca="false">'Monthly Data'!E181</f>
        <v>36</v>
      </c>
      <c r="D41" s="11" t="n">
        <f aca="false">'Monthly Data'!F181</f>
        <v>286258</v>
      </c>
      <c r="E41" s="11" t="n">
        <f aca="false">(1*D39+2*D40+3*D41)/6</f>
        <v>282089.666666667</v>
      </c>
      <c r="F41" s="11" t="n">
        <f aca="false">$J$6+$J$5*C41</f>
        <v>251398.608108108</v>
      </c>
    </row>
    <row r="42" customFormat="false" ht="15" hidden="false" customHeight="false" outlineLevel="0" collapsed="false">
      <c r="B42" s="14" t="s">
        <v>83</v>
      </c>
      <c r="C42" s="14" t="n">
        <v>37</v>
      </c>
      <c r="D42" s="14"/>
      <c r="E42" s="15" t="n">
        <f aca="false">(1*D39+2*D40+3*D41)/6</f>
        <v>282089.666666667</v>
      </c>
      <c r="F42" s="15" t="n">
        <f aca="false">$J$6+$J$5*C42</f>
        <v>251947.095238095</v>
      </c>
    </row>
    <row r="43" customFormat="false" ht="15" hidden="false" customHeight="false" outlineLevel="0" collapsed="false">
      <c r="B43" s="14" t="s">
        <v>84</v>
      </c>
      <c r="C43" s="14" t="n">
        <v>38</v>
      </c>
      <c r="D43" s="14"/>
      <c r="E43" s="15" t="n">
        <f aca="false">(1*D40+2*D41+3*E42)/6</f>
        <v>283002.666666667</v>
      </c>
      <c r="F43" s="15" t="n">
        <f aca="false">$J$6+$J$5*C43</f>
        <v>252495.582368082</v>
      </c>
    </row>
    <row r="44" customFormat="false" ht="15" hidden="false" customHeight="false" outlineLevel="0" collapsed="false">
      <c r="B44" s="14" t="s">
        <v>85</v>
      </c>
      <c r="C44" s="14" t="n">
        <v>39</v>
      </c>
      <c r="D44" s="14"/>
      <c r="E44" s="15" t="n">
        <f aca="false">(1*D41+2*E42+3*E43)/6</f>
        <v>283240.888888889</v>
      </c>
      <c r="F44" s="15" t="n">
        <f aca="false">$J$6+$J$5*C44</f>
        <v>253044.06949807</v>
      </c>
    </row>
    <row r="47" customFormat="false" ht="15" hidden="false" customHeight="false" outlineLevel="0" collapsed="false">
      <c r="B47" s="4" t="s">
        <v>86</v>
      </c>
    </row>
    <row r="48" customFormat="false" ht="48" hidden="false" customHeight="true" outlineLevel="0" collapsed="false">
      <c r="B48" s="5" t="s">
        <v>87</v>
      </c>
      <c r="C48" s="5"/>
      <c r="D48" s="5"/>
      <c r="E48" s="5"/>
      <c r="F48" s="5"/>
      <c r="G48" s="5"/>
    </row>
    <row r="51" customFormat="false" ht="15" hidden="false" customHeight="false" outlineLevel="0" collapsed="false">
      <c r="B51" s="4" t="s">
        <v>88</v>
      </c>
    </row>
    <row r="52" customFormat="false" ht="30" hidden="false" customHeight="true" outlineLevel="0" collapsed="false">
      <c r="B52" s="5" t="s">
        <v>107</v>
      </c>
      <c r="C52" s="5"/>
      <c r="D52" s="5"/>
      <c r="E52" s="5"/>
      <c r="F52" s="5"/>
      <c r="G52" s="5"/>
    </row>
    <row r="53" customFormat="false" ht="30" hidden="false" customHeight="true" outlineLevel="0" collapsed="false">
      <c r="B53" s="5" t="s">
        <v>108</v>
      </c>
      <c r="C53" s="5"/>
      <c r="D53" s="5"/>
      <c r="E53" s="5"/>
      <c r="F53" s="5"/>
      <c r="G53" s="5"/>
    </row>
  </sheetData>
  <mergeCells count="4">
    <mergeCell ref="B3:G3"/>
    <mergeCell ref="B48:G48"/>
    <mergeCell ref="B52:G52"/>
    <mergeCell ref="B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8" min="7" style="0" width="4"/>
    <col collapsed="false" customWidth="true" hidden="false" outlineLevel="0" max="10" min="9" style="0" width="14"/>
  </cols>
  <sheetData>
    <row r="2" customFormat="false" ht="19.7" hidden="false" customHeight="false" outlineLevel="0" collapsed="false">
      <c r="B2" s="1" t="s">
        <v>109</v>
      </c>
    </row>
    <row r="3" customFormat="false" ht="31.5" hidden="false" customHeight="true" outlineLevel="0" collapsed="false">
      <c r="B3" s="5" t="s">
        <v>110</v>
      </c>
      <c r="C3" s="5"/>
      <c r="D3" s="5"/>
      <c r="E3" s="5"/>
      <c r="F3" s="5"/>
      <c r="G3" s="5"/>
    </row>
    <row r="4" customFormat="false" ht="15" hidden="false" customHeight="false" outlineLevel="0" collapsed="false">
      <c r="I4" s="4" t="s">
        <v>75</v>
      </c>
    </row>
    <row r="5" customFormat="false" ht="15" hidden="false" customHeight="false" outlineLevel="0" collapsed="false">
      <c r="B5" s="6" t="s">
        <v>24</v>
      </c>
      <c r="C5" s="6" t="s">
        <v>26</v>
      </c>
      <c r="D5" s="6" t="s">
        <v>76</v>
      </c>
      <c r="E5" s="6" t="s">
        <v>77</v>
      </c>
      <c r="F5" s="6" t="s">
        <v>78</v>
      </c>
      <c r="I5" s="9" t="s">
        <v>79</v>
      </c>
      <c r="J5" s="10" t="n">
        <f aca="false">SLOPE(D6:D41,C6:C41)</f>
        <v>29586.3115830116</v>
      </c>
    </row>
    <row r="6" customFormat="false" ht="15" hidden="false" customHeight="false" outlineLevel="0" collapsed="false">
      <c r="B6" s="7" t="str">
        <f aca="false">'Monthly Data'!D182</f>
        <v>Jan-20</v>
      </c>
      <c r="C6" s="7" t="n">
        <f aca="false">'Monthly Data'!E182</f>
        <v>1</v>
      </c>
      <c r="D6" s="11" t="n">
        <f aca="false">'Monthly Data'!F182</f>
        <v>2195848</v>
      </c>
      <c r="E6" s="11"/>
      <c r="F6" s="11" t="n">
        <f aca="false">$J$6+$J$5*C6</f>
        <v>2373874.90840841</v>
      </c>
      <c r="I6" s="9" t="s">
        <v>80</v>
      </c>
      <c r="J6" s="10" t="n">
        <f aca="false">INTERCEPT(D6:D41,C6:C41)</f>
        <v>2344288.5968254</v>
      </c>
    </row>
    <row r="7" customFormat="false" ht="15" hidden="false" customHeight="false" outlineLevel="0" collapsed="false">
      <c r="B7" s="7" t="str">
        <f aca="false">'Monthly Data'!D183</f>
        <v>Feb-20</v>
      </c>
      <c r="C7" s="7" t="n">
        <f aca="false">'Monthly Data'!E183</f>
        <v>2</v>
      </c>
      <c r="D7" s="11" t="n">
        <f aca="false">'Monthly Data'!F183</f>
        <v>2207257</v>
      </c>
      <c r="E7" s="11"/>
      <c r="F7" s="11" t="n">
        <f aca="false">$J$6+$J$5*C7</f>
        <v>2403461.21999142</v>
      </c>
      <c r="I7" s="9" t="s">
        <v>81</v>
      </c>
      <c r="J7" s="12" t="n">
        <f aca="false">RSQ(D6:D41,C6:C41)</f>
        <v>0.170996705579432</v>
      </c>
    </row>
    <row r="8" customFormat="false" ht="15" hidden="false" customHeight="false" outlineLevel="0" collapsed="false">
      <c r="B8" s="7" t="str">
        <f aca="false">'Monthly Data'!D184</f>
        <v>Mar-20</v>
      </c>
      <c r="C8" s="7" t="n">
        <f aca="false">'Monthly Data'!E184</f>
        <v>3</v>
      </c>
      <c r="D8" s="11" t="n">
        <f aca="false">'Monthly Data'!F184</f>
        <v>3083281</v>
      </c>
      <c r="E8" s="11" t="n">
        <f aca="false">(1*D6+2*D7+3*D8)/6</f>
        <v>2643367.5</v>
      </c>
      <c r="F8" s="11" t="n">
        <f aca="false">$J$6+$J$5*C8</f>
        <v>2433047.53157443</v>
      </c>
      <c r="I8" s="9" t="s">
        <v>82</v>
      </c>
      <c r="J8" s="13" t="n">
        <f aca="false">AVERAGE('Monthly Data'!I182:I217)</f>
        <v>0.00689709442039738</v>
      </c>
    </row>
    <row r="9" customFormat="false" ht="15" hidden="false" customHeight="false" outlineLevel="0" collapsed="false">
      <c r="B9" s="7" t="str">
        <f aca="false">'Monthly Data'!D185</f>
        <v>Apr-20</v>
      </c>
      <c r="C9" s="7" t="n">
        <f aca="false">'Monthly Data'!E185</f>
        <v>4</v>
      </c>
      <c r="D9" s="11" t="n">
        <f aca="false">'Monthly Data'!F185</f>
        <v>2496851</v>
      </c>
      <c r="E9" s="11" t="n">
        <f aca="false">(1*D7+2*D8+3*D9)/6</f>
        <v>2644062</v>
      </c>
      <c r="F9" s="11" t="n">
        <f aca="false">$J$6+$J$5*C9</f>
        <v>2462633.84315744</v>
      </c>
    </row>
    <row r="10" customFormat="false" ht="15" hidden="false" customHeight="false" outlineLevel="0" collapsed="false">
      <c r="B10" s="7" t="str">
        <f aca="false">'Monthly Data'!D186</f>
        <v>May-20</v>
      </c>
      <c r="C10" s="7" t="n">
        <f aca="false">'Monthly Data'!E186</f>
        <v>5</v>
      </c>
      <c r="D10" s="11" t="n">
        <f aca="false">'Monthly Data'!F186</f>
        <v>3340891</v>
      </c>
      <c r="E10" s="11" t="n">
        <f aca="false">(1*D8+2*D9+3*D10)/6</f>
        <v>3016609.33333333</v>
      </c>
      <c r="F10" s="11" t="n">
        <f aca="false">$J$6+$J$5*C10</f>
        <v>2492220.15474045</v>
      </c>
    </row>
    <row r="11" customFormat="false" ht="15" hidden="false" customHeight="false" outlineLevel="0" collapsed="false">
      <c r="B11" s="7" t="str">
        <f aca="false">'Monthly Data'!D187</f>
        <v>Jun-20</v>
      </c>
      <c r="C11" s="7" t="n">
        <f aca="false">'Monthly Data'!E187</f>
        <v>6</v>
      </c>
      <c r="D11" s="11" t="n">
        <f aca="false">'Monthly Data'!F187</f>
        <v>3937405</v>
      </c>
      <c r="E11" s="11" t="n">
        <f aca="false">(1*D9+2*D10+3*D11)/6</f>
        <v>3498474.66666667</v>
      </c>
      <c r="F11" s="11" t="n">
        <f aca="false">$J$6+$J$5*C11</f>
        <v>2521806.46632347</v>
      </c>
    </row>
    <row r="12" customFormat="false" ht="15" hidden="false" customHeight="false" outlineLevel="0" collapsed="false">
      <c r="B12" s="7" t="str">
        <f aca="false">'Monthly Data'!D188</f>
        <v>Jul-20</v>
      </c>
      <c r="C12" s="7" t="n">
        <f aca="false">'Monthly Data'!E188</f>
        <v>7</v>
      </c>
      <c r="D12" s="11" t="n">
        <f aca="false">'Monthly Data'!F188</f>
        <v>3236264</v>
      </c>
      <c r="E12" s="11" t="n">
        <f aca="false">(1*D10+2*D11+3*D12)/6</f>
        <v>3487415.5</v>
      </c>
      <c r="F12" s="11" t="n">
        <f aca="false">$J$6+$J$5*C12</f>
        <v>2551392.77790648</v>
      </c>
    </row>
    <row r="13" customFormat="false" ht="15" hidden="false" customHeight="false" outlineLevel="0" collapsed="false">
      <c r="B13" s="7" t="str">
        <f aca="false">'Monthly Data'!D189</f>
        <v>Aug-20</v>
      </c>
      <c r="C13" s="7" t="n">
        <f aca="false">'Monthly Data'!E189</f>
        <v>8</v>
      </c>
      <c r="D13" s="11" t="n">
        <f aca="false">'Monthly Data'!F189</f>
        <v>2978169</v>
      </c>
      <c r="E13" s="11" t="n">
        <f aca="false">(1*D11+2*D12+3*D13)/6</f>
        <v>3224073.33333333</v>
      </c>
      <c r="F13" s="11" t="n">
        <f aca="false">$J$6+$J$5*C13</f>
        <v>2580979.08948949</v>
      </c>
    </row>
    <row r="14" customFormat="false" ht="15" hidden="false" customHeight="false" outlineLevel="0" collapsed="false">
      <c r="B14" s="7" t="str">
        <f aca="false">'Monthly Data'!D190</f>
        <v>Sep-20</v>
      </c>
      <c r="C14" s="7" t="n">
        <f aca="false">'Monthly Data'!E190</f>
        <v>9</v>
      </c>
      <c r="D14" s="11" t="n">
        <f aca="false">'Monthly Data'!F190</f>
        <v>2944899</v>
      </c>
      <c r="E14" s="11" t="n">
        <f aca="false">(1*D12+2*D13+3*D14)/6</f>
        <v>3004549.83333333</v>
      </c>
      <c r="F14" s="11" t="n">
        <f aca="false">$J$6+$J$5*C14</f>
        <v>2610565.4010725</v>
      </c>
    </row>
    <row r="15" customFormat="false" ht="15" hidden="false" customHeight="false" outlineLevel="0" collapsed="false">
      <c r="B15" s="7" t="str">
        <f aca="false">'Monthly Data'!D191</f>
        <v>Oct-20</v>
      </c>
      <c r="C15" s="7" t="n">
        <f aca="false">'Monthly Data'!E191</f>
        <v>10</v>
      </c>
      <c r="D15" s="11" t="n">
        <f aca="false">'Monthly Data'!F191</f>
        <v>2574803</v>
      </c>
      <c r="E15" s="11" t="n">
        <f aca="false">(1*D13+2*D14+3*D15)/6</f>
        <v>2765396</v>
      </c>
      <c r="F15" s="11" t="n">
        <f aca="false">$J$6+$J$5*C15</f>
        <v>2640151.71265551</v>
      </c>
    </row>
    <row r="16" customFormat="false" ht="15" hidden="false" customHeight="false" outlineLevel="0" collapsed="false">
      <c r="B16" s="7" t="str">
        <f aca="false">'Monthly Data'!D192</f>
        <v>Nov-20</v>
      </c>
      <c r="C16" s="7" t="n">
        <f aca="false">'Monthly Data'!E192</f>
        <v>11</v>
      </c>
      <c r="D16" s="11" t="n">
        <f aca="false">'Monthly Data'!F192</f>
        <v>2560547</v>
      </c>
      <c r="E16" s="11" t="n">
        <f aca="false">(1*D14+2*D15+3*D16)/6</f>
        <v>2629357.66666667</v>
      </c>
      <c r="F16" s="11" t="n">
        <f aca="false">$J$6+$J$5*C16</f>
        <v>2669738.02423852</v>
      </c>
    </row>
    <row r="17" customFormat="false" ht="15" hidden="false" customHeight="false" outlineLevel="0" collapsed="false">
      <c r="B17" s="7" t="str">
        <f aca="false">'Monthly Data'!D193</f>
        <v>Dec-20</v>
      </c>
      <c r="C17" s="7" t="n">
        <f aca="false">'Monthly Data'!E193</f>
        <v>12</v>
      </c>
      <c r="D17" s="11" t="n">
        <f aca="false">'Monthly Data'!F193</f>
        <v>3445867</v>
      </c>
      <c r="E17" s="11" t="n">
        <f aca="false">(1*D15+2*D16+3*D17)/6</f>
        <v>3005583</v>
      </c>
      <c r="F17" s="11" t="n">
        <f aca="false">$J$6+$J$5*C17</f>
        <v>2699324.33582154</v>
      </c>
    </row>
    <row r="18" customFormat="false" ht="15" hidden="false" customHeight="false" outlineLevel="0" collapsed="false">
      <c r="B18" s="7" t="str">
        <f aca="false">'Monthly Data'!D194</f>
        <v>Jan-21</v>
      </c>
      <c r="C18" s="7" t="n">
        <f aca="false">'Monthly Data'!E194</f>
        <v>13</v>
      </c>
      <c r="D18" s="11" t="n">
        <f aca="false">'Monthly Data'!F194</f>
        <v>1583647</v>
      </c>
      <c r="E18" s="11" t="n">
        <f aca="false">(1*D16+2*D17+3*D18)/6</f>
        <v>2367203.66666667</v>
      </c>
      <c r="F18" s="11" t="n">
        <f aca="false">$J$6+$J$5*C18</f>
        <v>2728910.64740455</v>
      </c>
    </row>
    <row r="19" customFormat="false" ht="15" hidden="false" customHeight="false" outlineLevel="0" collapsed="false">
      <c r="B19" s="7" t="str">
        <f aca="false">'Monthly Data'!D195</f>
        <v>Feb-21</v>
      </c>
      <c r="C19" s="7" t="n">
        <f aca="false">'Monthly Data'!E195</f>
        <v>14</v>
      </c>
      <c r="D19" s="11" t="n">
        <f aca="false">'Monthly Data'!F195</f>
        <v>1604770</v>
      </c>
      <c r="E19" s="11" t="n">
        <f aca="false">(1*D17+2*D18+3*D19)/6</f>
        <v>1904578.5</v>
      </c>
      <c r="F19" s="11" t="n">
        <f aca="false">$J$6+$J$5*C19</f>
        <v>2758496.95898756</v>
      </c>
    </row>
    <row r="20" customFormat="false" ht="15" hidden="false" customHeight="false" outlineLevel="0" collapsed="false">
      <c r="B20" s="7" t="str">
        <f aca="false">'Monthly Data'!D196</f>
        <v>Mar-21</v>
      </c>
      <c r="C20" s="7" t="n">
        <f aca="false">'Monthly Data'!E196</f>
        <v>15</v>
      </c>
      <c r="D20" s="11" t="n">
        <f aca="false">'Monthly Data'!F196</f>
        <v>1842473</v>
      </c>
      <c r="E20" s="11" t="n">
        <f aca="false">(1*D18+2*D19+3*D20)/6</f>
        <v>1720101</v>
      </c>
      <c r="F20" s="11" t="n">
        <f aca="false">$J$6+$J$5*C20</f>
        <v>2788083.27057057</v>
      </c>
    </row>
    <row r="21" customFormat="false" ht="15" hidden="false" customHeight="false" outlineLevel="0" collapsed="false">
      <c r="B21" s="7" t="str">
        <f aca="false">'Monthly Data'!D197</f>
        <v>Apr-21</v>
      </c>
      <c r="C21" s="7" t="n">
        <f aca="false">'Monthly Data'!E197</f>
        <v>16</v>
      </c>
      <c r="D21" s="11" t="n">
        <f aca="false">'Monthly Data'!F197</f>
        <v>2803601</v>
      </c>
      <c r="E21" s="11" t="n">
        <f aca="false">(1*D19+2*D20+3*D21)/6</f>
        <v>2283419.83333333</v>
      </c>
      <c r="F21" s="11" t="n">
        <f aca="false">$J$6+$J$5*C21</f>
        <v>2817669.58215358</v>
      </c>
    </row>
    <row r="22" customFormat="false" ht="15" hidden="false" customHeight="false" outlineLevel="0" collapsed="false">
      <c r="B22" s="7" t="str">
        <f aca="false">'Monthly Data'!D198</f>
        <v>May-21</v>
      </c>
      <c r="C22" s="7" t="n">
        <f aca="false">'Monthly Data'!E198</f>
        <v>17</v>
      </c>
      <c r="D22" s="11" t="n">
        <f aca="false">'Monthly Data'!F198</f>
        <v>2215511</v>
      </c>
      <c r="E22" s="11" t="n">
        <f aca="false">(1*D20+2*D21+3*D22)/6</f>
        <v>2349368</v>
      </c>
      <c r="F22" s="11" t="n">
        <f aca="false">$J$6+$J$5*C22</f>
        <v>2847255.89373659</v>
      </c>
    </row>
    <row r="23" customFormat="false" ht="15" hidden="false" customHeight="false" outlineLevel="0" collapsed="false">
      <c r="B23" s="7" t="str">
        <f aca="false">'Monthly Data'!D199</f>
        <v>Jun-21</v>
      </c>
      <c r="C23" s="7" t="n">
        <f aca="false">'Monthly Data'!E199</f>
        <v>18</v>
      </c>
      <c r="D23" s="11" t="n">
        <f aca="false">'Monthly Data'!F199</f>
        <v>2225063</v>
      </c>
      <c r="E23" s="11" t="n">
        <f aca="false">(1*D21+2*D22+3*D23)/6</f>
        <v>2318302</v>
      </c>
      <c r="F23" s="11" t="n">
        <f aca="false">$J$6+$J$5*C23</f>
        <v>2876842.20531961</v>
      </c>
    </row>
    <row r="24" customFormat="false" ht="15" hidden="false" customHeight="false" outlineLevel="0" collapsed="false">
      <c r="B24" s="7" t="str">
        <f aca="false">'Monthly Data'!D200</f>
        <v>Jul-21</v>
      </c>
      <c r="C24" s="7" t="n">
        <f aca="false">'Monthly Data'!E200</f>
        <v>19</v>
      </c>
      <c r="D24" s="11" t="n">
        <f aca="false">'Monthly Data'!F200</f>
        <v>2681359</v>
      </c>
      <c r="E24" s="11" t="n">
        <f aca="false">(1*D22+2*D23+3*D24)/6</f>
        <v>2451619</v>
      </c>
      <c r="F24" s="11" t="n">
        <f aca="false">$J$6+$J$5*C24</f>
        <v>2906428.51690262</v>
      </c>
    </row>
    <row r="25" customFormat="false" ht="15" hidden="false" customHeight="false" outlineLevel="0" collapsed="false">
      <c r="B25" s="7" t="str">
        <f aca="false">'Monthly Data'!D201</f>
        <v>Aug-21</v>
      </c>
      <c r="C25" s="7" t="n">
        <f aca="false">'Monthly Data'!E201</f>
        <v>20</v>
      </c>
      <c r="D25" s="11" t="n">
        <f aca="false">'Monthly Data'!F201</f>
        <v>2415011</v>
      </c>
      <c r="E25" s="11" t="n">
        <f aca="false">(1*D23+2*D24+3*D25)/6</f>
        <v>2472135.66666667</v>
      </c>
      <c r="F25" s="11" t="n">
        <f aca="false">$J$6+$J$5*C25</f>
        <v>2936014.82848563</v>
      </c>
    </row>
    <row r="26" customFormat="false" ht="15" hidden="false" customHeight="false" outlineLevel="0" collapsed="false">
      <c r="B26" s="7" t="str">
        <f aca="false">'Monthly Data'!D202</f>
        <v>Sep-21</v>
      </c>
      <c r="C26" s="7" t="n">
        <f aca="false">'Monthly Data'!E202</f>
        <v>21</v>
      </c>
      <c r="D26" s="11" t="n">
        <f aca="false">'Monthly Data'!F202</f>
        <v>2699748</v>
      </c>
      <c r="E26" s="11" t="n">
        <f aca="false">(1*D24+2*D25+3*D26)/6</f>
        <v>2601770.83333333</v>
      </c>
      <c r="F26" s="11" t="n">
        <f aca="false">$J$6+$J$5*C26</f>
        <v>2965601.14006864</v>
      </c>
    </row>
    <row r="27" customFormat="false" ht="15" hidden="false" customHeight="false" outlineLevel="0" collapsed="false">
      <c r="B27" s="7" t="str">
        <f aca="false">'Monthly Data'!D203</f>
        <v>Oct-21</v>
      </c>
      <c r="C27" s="7" t="n">
        <f aca="false">'Monthly Data'!E203</f>
        <v>22</v>
      </c>
      <c r="D27" s="11" t="n">
        <f aca="false">'Monthly Data'!F203</f>
        <v>2116643</v>
      </c>
      <c r="E27" s="11" t="n">
        <f aca="false">(1*D25+2*D26+3*D27)/6</f>
        <v>2360739.33333333</v>
      </c>
      <c r="F27" s="11" t="n">
        <f aca="false">$J$6+$J$5*C27</f>
        <v>2995187.45165165</v>
      </c>
    </row>
    <row r="28" customFormat="false" ht="15" hidden="false" customHeight="false" outlineLevel="0" collapsed="false">
      <c r="B28" s="7" t="str">
        <f aca="false">'Monthly Data'!D204</f>
        <v>Nov-21</v>
      </c>
      <c r="C28" s="7" t="n">
        <f aca="false">'Monthly Data'!E204</f>
        <v>23</v>
      </c>
      <c r="D28" s="11" t="n">
        <f aca="false">'Monthly Data'!F204</f>
        <v>2436477</v>
      </c>
      <c r="E28" s="11" t="n">
        <f aca="false">(1*D26+2*D27+3*D28)/6</f>
        <v>2373744.16666667</v>
      </c>
      <c r="F28" s="11" t="n">
        <f aca="false">$J$6+$J$5*C28</f>
        <v>3024773.76323466</v>
      </c>
    </row>
    <row r="29" customFormat="false" ht="15" hidden="false" customHeight="false" outlineLevel="0" collapsed="false">
      <c r="B29" s="7" t="str">
        <f aca="false">'Monthly Data'!D205</f>
        <v>Dec-21</v>
      </c>
      <c r="C29" s="7" t="n">
        <f aca="false">'Monthly Data'!E205</f>
        <v>24</v>
      </c>
      <c r="D29" s="11" t="n">
        <f aca="false">'Monthly Data'!F205</f>
        <v>2234435</v>
      </c>
      <c r="E29" s="11" t="n">
        <f aca="false">(1*D27+2*D28+3*D29)/6</f>
        <v>2282150.33333333</v>
      </c>
      <c r="F29" s="11" t="n">
        <f aca="false">$J$6+$J$5*C29</f>
        <v>3054360.07481767</v>
      </c>
    </row>
    <row r="30" customFormat="false" ht="15" hidden="false" customHeight="false" outlineLevel="0" collapsed="false">
      <c r="B30" s="7" t="str">
        <f aca="false">'Monthly Data'!D206</f>
        <v>Jan-22</v>
      </c>
      <c r="C30" s="7" t="n">
        <f aca="false">'Monthly Data'!E206</f>
        <v>25</v>
      </c>
      <c r="D30" s="11" t="n">
        <f aca="false">'Monthly Data'!F206</f>
        <v>2334961</v>
      </c>
      <c r="E30" s="11" t="n">
        <f aca="false">(1*D28+2*D29+3*D30)/6</f>
        <v>2318371.66666667</v>
      </c>
      <c r="F30" s="11" t="n">
        <f aca="false">$J$6+$J$5*C30</f>
        <v>3083946.38640069</v>
      </c>
    </row>
    <row r="31" customFormat="false" ht="15" hidden="false" customHeight="false" outlineLevel="0" collapsed="false">
      <c r="B31" s="7" t="str">
        <f aca="false">'Monthly Data'!D207</f>
        <v>Feb-22</v>
      </c>
      <c r="C31" s="7" t="n">
        <f aca="false">'Monthly Data'!E207</f>
        <v>26</v>
      </c>
      <c r="D31" s="11" t="n">
        <f aca="false">'Monthly Data'!F207</f>
        <v>2389843</v>
      </c>
      <c r="E31" s="11" t="n">
        <f aca="false">(1*D29+2*D30+3*D31)/6</f>
        <v>2345647.66666667</v>
      </c>
      <c r="F31" s="11" t="n">
        <f aca="false">$J$6+$J$5*C31</f>
        <v>3113532.6979837</v>
      </c>
    </row>
    <row r="32" customFormat="false" ht="15" hidden="false" customHeight="false" outlineLevel="0" collapsed="false">
      <c r="B32" s="7" t="str">
        <f aca="false">'Monthly Data'!D208</f>
        <v>Mar-22</v>
      </c>
      <c r="C32" s="7" t="n">
        <f aca="false">'Monthly Data'!E208</f>
        <v>27</v>
      </c>
      <c r="D32" s="11" t="n">
        <f aca="false">'Monthly Data'!F208</f>
        <v>3487480</v>
      </c>
      <c r="E32" s="11" t="n">
        <f aca="false">(1*D30+2*D31+3*D32)/6</f>
        <v>2929514.5</v>
      </c>
      <c r="F32" s="11" t="n">
        <f aca="false">$J$6+$J$5*C32</f>
        <v>3143119.00956671</v>
      </c>
    </row>
    <row r="33" customFormat="false" ht="15" hidden="false" customHeight="false" outlineLevel="0" collapsed="false">
      <c r="B33" s="7" t="str">
        <f aca="false">'Monthly Data'!D209</f>
        <v>Apr-22</v>
      </c>
      <c r="C33" s="7" t="n">
        <f aca="false">'Monthly Data'!E209</f>
        <v>28</v>
      </c>
      <c r="D33" s="11" t="n">
        <f aca="false">'Monthly Data'!F209</f>
        <v>3749926</v>
      </c>
      <c r="E33" s="11" t="n">
        <f aca="false">(1*D31+2*D32+3*D33)/6</f>
        <v>3435763.5</v>
      </c>
      <c r="F33" s="11" t="n">
        <f aca="false">$J$6+$J$5*C33</f>
        <v>3172705.32114972</v>
      </c>
    </row>
    <row r="34" customFormat="false" ht="15" hidden="false" customHeight="false" outlineLevel="0" collapsed="false">
      <c r="B34" s="7" t="str">
        <f aca="false">'Monthly Data'!D210</f>
        <v>May-22</v>
      </c>
      <c r="C34" s="7" t="n">
        <f aca="false">'Monthly Data'!E210</f>
        <v>29</v>
      </c>
      <c r="D34" s="11" t="n">
        <f aca="false">'Monthly Data'!F210</f>
        <v>4403892</v>
      </c>
      <c r="E34" s="11" t="n">
        <f aca="false">(1*D32+2*D33+3*D34)/6</f>
        <v>4033168</v>
      </c>
      <c r="F34" s="11" t="n">
        <f aca="false">$J$6+$J$5*C34</f>
        <v>3202291.63273273</v>
      </c>
    </row>
    <row r="35" customFormat="false" ht="15" hidden="false" customHeight="false" outlineLevel="0" collapsed="false">
      <c r="B35" s="7" t="str">
        <f aca="false">'Monthly Data'!D211</f>
        <v>Jun-22</v>
      </c>
      <c r="C35" s="7" t="n">
        <f aca="false">'Monthly Data'!E211</f>
        <v>30</v>
      </c>
      <c r="D35" s="11" t="n">
        <f aca="false">'Monthly Data'!F211</f>
        <v>3722455</v>
      </c>
      <c r="E35" s="11" t="n">
        <f aca="false">(1*D33+2*D34+3*D35)/6</f>
        <v>3954179.16666667</v>
      </c>
      <c r="F35" s="11" t="n">
        <f aca="false">$J$6+$J$5*C35</f>
        <v>3231877.94431574</v>
      </c>
    </row>
    <row r="36" customFormat="false" ht="15" hidden="false" customHeight="false" outlineLevel="0" collapsed="false">
      <c r="B36" s="7" t="str">
        <f aca="false">'Monthly Data'!D212</f>
        <v>Jul-22</v>
      </c>
      <c r="C36" s="7" t="n">
        <f aca="false">'Monthly Data'!E212</f>
        <v>31</v>
      </c>
      <c r="D36" s="11" t="n">
        <f aca="false">'Monthly Data'!F212</f>
        <v>4272985</v>
      </c>
      <c r="E36" s="11" t="n">
        <f aca="false">(1*D34+2*D35+3*D36)/6</f>
        <v>4111292.83333333</v>
      </c>
      <c r="F36" s="11" t="n">
        <f aca="false">$J$6+$J$5*C36</f>
        <v>3261464.25589876</v>
      </c>
    </row>
    <row r="37" customFormat="false" ht="15" hidden="false" customHeight="false" outlineLevel="0" collapsed="false">
      <c r="B37" s="7" t="str">
        <f aca="false">'Monthly Data'!D213</f>
        <v>Aug-22</v>
      </c>
      <c r="C37" s="7" t="n">
        <f aca="false">'Monthly Data'!E213</f>
        <v>32</v>
      </c>
      <c r="D37" s="11" t="n">
        <f aca="false">'Monthly Data'!F213</f>
        <v>3193018</v>
      </c>
      <c r="E37" s="11" t="n">
        <f aca="false">(1*D35+2*D36+3*D37)/6</f>
        <v>3641246.5</v>
      </c>
      <c r="F37" s="11" t="n">
        <f aca="false">$J$6+$J$5*C37</f>
        <v>3291050.56748177</v>
      </c>
    </row>
    <row r="38" customFormat="false" ht="15" hidden="false" customHeight="false" outlineLevel="0" collapsed="false">
      <c r="B38" s="7" t="str">
        <f aca="false">'Monthly Data'!D214</f>
        <v>Sep-22</v>
      </c>
      <c r="C38" s="7" t="n">
        <f aca="false">'Monthly Data'!E214</f>
        <v>33</v>
      </c>
      <c r="D38" s="11" t="n">
        <f aca="false">'Monthly Data'!F214</f>
        <v>3913519</v>
      </c>
      <c r="E38" s="11" t="n">
        <f aca="false">(1*D36+2*D37+3*D38)/6</f>
        <v>3733263</v>
      </c>
      <c r="F38" s="11" t="n">
        <f aca="false">$J$6+$J$5*C38</f>
        <v>3320636.87906478</v>
      </c>
    </row>
    <row r="39" customFormat="false" ht="15" hidden="false" customHeight="false" outlineLevel="0" collapsed="false">
      <c r="B39" s="7" t="str">
        <f aca="false">'Monthly Data'!D215</f>
        <v>Oct-22</v>
      </c>
      <c r="C39" s="7" t="n">
        <f aca="false">'Monthly Data'!E215</f>
        <v>34</v>
      </c>
      <c r="D39" s="11" t="n">
        <f aca="false">'Monthly Data'!F215</f>
        <v>3165477</v>
      </c>
      <c r="E39" s="11" t="n">
        <f aca="false">(1*D37+2*D38+3*D39)/6</f>
        <v>3419414.5</v>
      </c>
      <c r="F39" s="11" t="n">
        <f aca="false">$J$6+$J$5*C39</f>
        <v>3350223.19064779</v>
      </c>
    </row>
    <row r="40" customFormat="false" ht="15" hidden="false" customHeight="false" outlineLevel="0" collapsed="false">
      <c r="B40" s="7" t="str">
        <f aca="false">'Monthly Data'!D216</f>
        <v>Nov-22</v>
      </c>
      <c r="C40" s="7" t="n">
        <f aca="false">'Monthly Data'!E216</f>
        <v>35</v>
      </c>
      <c r="D40" s="11" t="n">
        <f aca="false">'Monthly Data'!F216</f>
        <v>3317991</v>
      </c>
      <c r="E40" s="11" t="n">
        <f aca="false">(1*D38+2*D39+3*D40)/6</f>
        <v>3366407.66666667</v>
      </c>
      <c r="F40" s="11" t="n">
        <f aca="false">$J$6+$J$5*C40</f>
        <v>3379809.5022308</v>
      </c>
    </row>
    <row r="41" customFormat="false" ht="15" hidden="false" customHeight="false" outlineLevel="0" collapsed="false">
      <c r="B41" s="7" t="str">
        <f aca="false">'Monthly Data'!D217</f>
        <v>Dec-22</v>
      </c>
      <c r="C41" s="7" t="n">
        <f aca="false">'Monthly Data'!E217</f>
        <v>36</v>
      </c>
      <c r="D41" s="11" t="n">
        <f aca="false">'Monthly Data'!F217</f>
        <v>4286506</v>
      </c>
      <c r="E41" s="11" t="n">
        <f aca="false">(1*D39+2*D40+3*D41)/6</f>
        <v>3776829.5</v>
      </c>
      <c r="F41" s="11" t="n">
        <f aca="false">$J$6+$J$5*C41</f>
        <v>3409395.81381381</v>
      </c>
    </row>
    <row r="42" customFormat="false" ht="15" hidden="false" customHeight="false" outlineLevel="0" collapsed="false">
      <c r="B42" s="14" t="s">
        <v>83</v>
      </c>
      <c r="C42" s="14" t="n">
        <v>37</v>
      </c>
      <c r="D42" s="14"/>
      <c r="E42" s="15" t="n">
        <f aca="false">(1*D39+2*D40+3*D41)/6</f>
        <v>3776829.5</v>
      </c>
      <c r="F42" s="15" t="n">
        <f aca="false">$J$6+$J$5*C42</f>
        <v>3438982.12539683</v>
      </c>
    </row>
    <row r="43" customFormat="false" ht="15" hidden="false" customHeight="false" outlineLevel="0" collapsed="false">
      <c r="B43" s="14" t="s">
        <v>84</v>
      </c>
      <c r="C43" s="14" t="n">
        <v>38</v>
      </c>
      <c r="D43" s="14"/>
      <c r="E43" s="15" t="n">
        <f aca="false">(1*D40+2*D41+3*E42)/6</f>
        <v>3870248.58333333</v>
      </c>
      <c r="F43" s="15" t="n">
        <f aca="false">$J$6+$J$5*C43</f>
        <v>3468568.43697984</v>
      </c>
    </row>
    <row r="44" customFormat="false" ht="15" hidden="false" customHeight="false" outlineLevel="0" collapsed="false">
      <c r="B44" s="14" t="s">
        <v>85</v>
      </c>
      <c r="C44" s="14" t="n">
        <v>39</v>
      </c>
      <c r="D44" s="14"/>
      <c r="E44" s="15" t="n">
        <f aca="false">(1*D41+2*E42+3*E43)/6</f>
        <v>3908485.125</v>
      </c>
      <c r="F44" s="15" t="n">
        <f aca="false">$J$6+$J$5*C44</f>
        <v>3498154.74856285</v>
      </c>
    </row>
    <row r="47" customFormat="false" ht="15" hidden="false" customHeight="false" outlineLevel="0" collapsed="false">
      <c r="B47" s="4" t="s">
        <v>86</v>
      </c>
    </row>
    <row r="48" customFormat="false" ht="48" hidden="false" customHeight="true" outlineLevel="0" collapsed="false">
      <c r="B48" s="5" t="s">
        <v>111</v>
      </c>
      <c r="C48" s="5"/>
      <c r="D48" s="5"/>
      <c r="E48" s="5"/>
      <c r="F48" s="5"/>
      <c r="G48" s="5"/>
    </row>
    <row r="51" customFormat="false" ht="15" hidden="false" customHeight="false" outlineLevel="0" collapsed="false">
      <c r="B51" s="4" t="s">
        <v>88</v>
      </c>
    </row>
    <row r="52" customFormat="false" ht="30" hidden="false" customHeight="true" outlineLevel="0" collapsed="false">
      <c r="B52" s="5" t="s">
        <v>112</v>
      </c>
      <c r="C52" s="5"/>
      <c r="D52" s="5"/>
      <c r="E52" s="5"/>
      <c r="F52" s="5"/>
      <c r="G52" s="5"/>
    </row>
    <row r="53" customFormat="false" ht="30" hidden="false" customHeight="true" outlineLevel="0" collapsed="false">
      <c r="B53" s="5" t="s">
        <v>113</v>
      </c>
      <c r="C53" s="5"/>
      <c r="D53" s="5"/>
      <c r="E53" s="5"/>
      <c r="F53" s="5"/>
      <c r="G53" s="5"/>
    </row>
    <row r="54" customFormat="false" ht="30" hidden="false" customHeight="true" outlineLevel="0" collapsed="false">
      <c r="B54" s="5" t="s">
        <v>114</v>
      </c>
      <c r="C54" s="5"/>
      <c r="D54" s="5"/>
      <c r="E54" s="5"/>
      <c r="F54" s="5"/>
      <c r="G54" s="5"/>
    </row>
  </sheetData>
  <mergeCells count="5">
    <mergeCell ref="B3:G3"/>
    <mergeCell ref="B48:G48"/>
    <mergeCell ref="B52:G52"/>
    <mergeCell ref="B53:G53"/>
    <mergeCell ref="B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45"/>
  </cols>
  <sheetData>
    <row r="2" customFormat="false" ht="19.7" hidden="false" customHeight="false" outlineLevel="0" collapsed="false">
      <c r="B2" s="1" t="s">
        <v>115</v>
      </c>
    </row>
    <row r="4" customFormat="false" ht="31.5" hidden="false" customHeight="true" outlineLevel="0" collapsed="false">
      <c r="B4" s="5" t="s">
        <v>116</v>
      </c>
      <c r="C4" s="5"/>
      <c r="D4" s="5"/>
      <c r="E4" s="5"/>
    </row>
    <row r="6" customFormat="false" ht="55.2" hidden="false" customHeight="false" outlineLevel="0" collapsed="false">
      <c r="B6" s="16" t="s">
        <v>117</v>
      </c>
      <c r="C6" s="16" t="s">
        <v>118</v>
      </c>
      <c r="D6" s="16" t="s">
        <v>119</v>
      </c>
      <c r="E6" s="16" t="s">
        <v>120</v>
      </c>
      <c r="F6" s="16" t="s">
        <v>121</v>
      </c>
      <c r="G6" s="16" t="s">
        <v>122</v>
      </c>
    </row>
    <row r="7" customFormat="false" ht="15" hidden="false" customHeight="false" outlineLevel="0" collapsed="false">
      <c r="B7" s="17" t="s">
        <v>31</v>
      </c>
      <c r="C7" s="7" t="s">
        <v>123</v>
      </c>
      <c r="D7" s="7" t="s">
        <v>124</v>
      </c>
      <c r="E7" s="7" t="s">
        <v>125</v>
      </c>
      <c r="F7" s="7" t="s">
        <v>126</v>
      </c>
      <c r="G7" s="7" t="s">
        <v>127</v>
      </c>
    </row>
    <row r="8" customFormat="false" ht="15" hidden="false" customHeight="false" outlineLevel="0" collapsed="false">
      <c r="B8" s="17" t="s">
        <v>68</v>
      </c>
      <c r="C8" s="7" t="s">
        <v>128</v>
      </c>
      <c r="D8" s="7" t="s">
        <v>129</v>
      </c>
      <c r="E8" s="7" t="s">
        <v>130</v>
      </c>
      <c r="F8" s="7" t="s">
        <v>131</v>
      </c>
      <c r="G8" s="7" t="s">
        <v>132</v>
      </c>
    </row>
    <row r="9" customFormat="false" ht="15" hidden="false" customHeight="false" outlineLevel="0" collapsed="false">
      <c r="B9" s="17" t="s">
        <v>69</v>
      </c>
      <c r="C9" s="7" t="s">
        <v>133</v>
      </c>
      <c r="D9" s="7" t="s">
        <v>134</v>
      </c>
      <c r="E9" s="7" t="s">
        <v>135</v>
      </c>
      <c r="F9" s="7" t="s">
        <v>136</v>
      </c>
      <c r="G9" s="7" t="s">
        <v>137</v>
      </c>
    </row>
    <row r="10" customFormat="false" ht="15" hidden="false" customHeight="false" outlineLevel="0" collapsed="false">
      <c r="B10" s="17" t="s">
        <v>70</v>
      </c>
      <c r="C10" s="7" t="s">
        <v>138</v>
      </c>
      <c r="D10" s="7" t="s">
        <v>139</v>
      </c>
      <c r="E10" s="7" t="s">
        <v>140</v>
      </c>
      <c r="F10" s="7" t="s">
        <v>141</v>
      </c>
      <c r="G10" s="7" t="s">
        <v>142</v>
      </c>
    </row>
    <row r="11" customFormat="false" ht="15" hidden="false" customHeight="false" outlineLevel="0" collapsed="false">
      <c r="B11" s="17" t="s">
        <v>71</v>
      </c>
      <c r="C11" s="7" t="s">
        <v>143</v>
      </c>
      <c r="D11" s="7" t="s">
        <v>144</v>
      </c>
      <c r="E11" s="7" t="s">
        <v>145</v>
      </c>
      <c r="F11" s="7" t="s">
        <v>146</v>
      </c>
      <c r="G11" s="7" t="s">
        <v>147</v>
      </c>
    </row>
    <row r="12" customFormat="false" ht="15" hidden="false" customHeight="false" outlineLevel="0" collapsed="false">
      <c r="B12" s="17" t="s">
        <v>72</v>
      </c>
      <c r="C12" s="7" t="s">
        <v>148</v>
      </c>
      <c r="D12" s="7" t="s">
        <v>149</v>
      </c>
      <c r="E12" s="7" t="s">
        <v>150</v>
      </c>
      <c r="F12" s="7" t="s">
        <v>151</v>
      </c>
      <c r="G12" s="7" t="s">
        <v>152</v>
      </c>
    </row>
    <row r="14" customFormat="false" ht="15" hidden="false" customHeight="false" outlineLevel="0" collapsed="false">
      <c r="B14" s="4" t="s">
        <v>153</v>
      </c>
    </row>
    <row r="15" customFormat="false" ht="64.5" hidden="false" customHeight="true" outlineLevel="0" collapsed="false">
      <c r="B15" s="5" t="s">
        <v>154</v>
      </c>
      <c r="C15" s="5"/>
      <c r="D15" s="5"/>
      <c r="E15" s="5"/>
      <c r="F15" s="5"/>
    </row>
  </sheetData>
  <mergeCells count="2">
    <mergeCell ref="B4:E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2026-09-03T03:09:29Z</dcterms:created>
  <dc:creator>openpyxl</dc:creator>
  <dc:description/>
  <dc:language>en-US</dc:language>
  <cp:lastModifiedBy/>
  <dcterms:modified xsi:type="dcterms:W3CDTF">2026-09-03T03:09:32Z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