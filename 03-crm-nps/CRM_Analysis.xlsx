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 Data" sheetId="2" state="visible" r:id="rId4"/>
    <sheet name="Data Dictionary" sheetId="3" state="visible" r:id="rId5"/>
    <sheet name="Overall NPS" sheetId="4" state="visible" r:id="rId6"/>
    <sheet name="Segment Comparison" sheetId="5" state="visible" r:id="rId7"/>
    <sheet name="Lifecycle - Acquisition" sheetId="6" state="visible" r:id="rId8"/>
    <sheet name="Lifecycle - Retention" sheetId="7" state="visible" r:id="rId9"/>
    <sheet name="Lifecycle - Development" sheetId="8" state="visible" r:id="rId10"/>
    <sheet name="International Comparison" sheetId="9" state="visible" r:id="rId11"/>
    <sheet name="Final Resul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<sst xmlns="http://schemas.openxmlformats.org/spreadsheetml/2006/main" count="3023" uniqueCount="427">
  <si>
    <t xml:space="preserve">CRM Module — Indian News &amp; Business Magazine Reader Survey: Analysis Workbook</t>
  </si>
  <si>
    <t xml:space="preserve">Prepared by: Aishwarya | Outlook Live Project Program — MBA Business Analytics</t>
  </si>
  <si>
    <t xml:space="preserve">133 survey responses were collected via the Google Form built for this module (20 questions across</t>
  </si>
  <si>
    <t xml:space="preserve">6 sections: screening, demographics, acquisition, retention, development, NPS, international comparison).</t>
  </si>
  <si>
    <t xml:space="preserve">10 respondents screened out at Q1 (do not read any Indian news/business magazine) and are excluded</t>
  </si>
  <si>
    <t xml:space="preserve">from all magazine-specific and NPS analysis below, leaving 123 valid responses.</t>
  </si>
  <si>
    <t xml:space="preserve">NPS methodology: Promoters score 9-10, Passives score 7-8, Detractors score 0-6 on the 0-10</t>
  </si>
  <si>
    <t xml:space="preserve">recommendation-likelihood question. NPS = %Promoters - %Detractors. All summary tables below use</t>
  </si>
  <si>
    <t xml:space="preserve">live COUNTIFS/AVERAGEIFS formulas referencing the Raw Data sheet.</t>
  </si>
  <si>
    <t xml:space="preserve">Sheet guide:</t>
  </si>
  <si>
    <t xml:space="preserve">  Raw Data              - all 133 responses, plus a derived NPS Bucket helper column.</t>
  </si>
  <si>
    <t xml:space="preserve">  Data Dictionary        - question wording for every column (from the survey's own codebook).</t>
  </si>
  <si>
    <t xml:space="preserve">  Overall NPS            - headline NPS score and composition, all valid respondents.</t>
  </si>
  <si>
    <t xml:space="preserve">  Segment Comparison      - the 6-title competitor comparison (NPS, tenure, channel, promo fit per title).</t>
  </si>
  <si>
    <t xml:space="preserve">  Lifecycle - Acquisition   - how readers discovered their magazine and why they first subscribed.</t>
  </si>
  <si>
    <t xml:space="preserve">  Lifecycle - Retention     - tenure, access mode, reading depth, churn consideration and reasons.</t>
  </si>
  <si>
    <t xml:space="preserve">  Lifecycle - Development   - multi-title subscription rate, bundle interest, promo-offer preference.</t>
  </si>
  <si>
    <t xml:space="preserve">  International Comparison - exposure to international publications, tied to Part 2's Indian-vs-</t>
  </si>
  <si>
    <t xml:space="preserve">                            international promotional-offer research (see Word report).</t>
  </si>
  <si>
    <t xml:space="preserve">  Final Results           - all headline numbers and recommendations in one place.</t>
  </si>
  <si>
    <t xml:space="preserve">Respondent ID</t>
  </si>
  <si>
    <t xml:space="preserve">Read/read in past Indian news or business magazine?</t>
  </si>
  <si>
    <t xml:space="preserve">Age bracket</t>
  </si>
  <si>
    <t xml:space="preserve">Gender</t>
  </si>
  <si>
    <t xml:space="preserve">Region</t>
  </si>
  <si>
    <t xml:space="preserve">Occupation</t>
  </si>
  <si>
    <t xml:space="preserve">Magazine(s) currently read/subscribe to</t>
  </si>
  <si>
    <t xml:space="preserve">How first discovered magazine</t>
  </si>
  <si>
    <t xml:space="preserve">Primary reason first started reading/subscribing</t>
  </si>
  <si>
    <t xml:space="preserve">Length of reading/subscription</t>
  </si>
  <si>
    <t xml:space="preserve">Current access</t>
  </si>
  <si>
    <t xml:space="preserve">Typical issue reading depth</t>
  </si>
  <si>
    <t xml:space="preserve">Seriously considered cancelling/not renewing?</t>
  </si>
  <si>
    <t xml:space="preserve">Main cancellation/non-renewal reason</t>
  </si>
  <si>
    <t xml:space="preserve">Subscribed to &gt;1 magazine from same publisher?</t>
  </si>
  <si>
    <t xml:space="preserve">Interested in bundled offer?</t>
  </si>
  <si>
    <t xml:space="preserve">Promotional offers likely to upgrade/renew</t>
  </si>
  <si>
    <t xml:space="preserve">Likelihood to recommend (0-10)</t>
  </si>
  <si>
    <t xml:space="preserve">Main reason for recommendation score</t>
  </si>
  <si>
    <t xml:space="preserve">One thing that would improve experience</t>
  </si>
  <si>
    <t xml:space="preserve">International publication subscription?</t>
  </si>
  <si>
    <t xml:space="preserve">International publication</t>
  </si>
  <si>
    <t xml:space="preserve">NPS Bucket (derived)</t>
  </si>
  <si>
    <t xml:space="preserve">R-001</t>
  </si>
  <si>
    <t xml:space="preserve">Yes</t>
  </si>
  <si>
    <t xml:space="preserve">18-25</t>
  </si>
  <si>
    <t xml:space="preserve">Male</t>
  </si>
  <si>
    <t xml:space="preserve">East India</t>
  </si>
  <si>
    <t xml:space="preserve">Student</t>
  </si>
  <si>
    <t xml:space="preserve">India Today</t>
  </si>
  <si>
    <t xml:space="preserve">Bundled with another subscription</t>
  </si>
  <si>
    <t xml:space="preserve">Content quality</t>
  </si>
  <si>
    <t xml:space="preserve">6 months to 1 year</t>
  </si>
  <si>
    <t xml:space="preserve">Digital only</t>
  </si>
  <si>
    <t xml:space="preserve">Only read specific sections</t>
  </si>
  <si>
    <t xml:space="preserve">No</t>
  </si>
  <si>
    <t xml:space="preserve">Not applicable</t>
  </si>
  <si>
    <t xml:space="preserve">Discounted multi-title bundle; A price-lock guarantee against future increases</t>
  </si>
  <si>
    <t xml:space="preserve">I trust the magazine and enjoy the depth of analysis</t>
  </si>
  <si>
    <t xml:space="preserve">Faster delivery of digital content</t>
  </si>
  <si>
    <t xml:space="preserve">Yes, currently</t>
  </si>
  <si>
    <t xml:space="preserve">Financial Times</t>
  </si>
  <si>
    <t xml:space="preserve">R-002</t>
  </si>
  <si>
    <t xml:space="preserve">51-65</t>
  </si>
  <si>
    <t xml:space="preserve">South India</t>
  </si>
  <si>
    <t xml:space="preserve">Salaried professional</t>
  </si>
  <si>
    <t xml:space="preserve">Business Today</t>
  </si>
  <si>
    <t xml:space="preserve">Family or friend recommendation</t>
  </si>
  <si>
    <t xml:space="preserve">1-3 years</t>
  </si>
  <si>
    <t xml:space="preserve">Print only</t>
  </si>
  <si>
    <t xml:space="preserve">Skim most articles</t>
  </si>
  <si>
    <t xml:space="preserve">Price increase</t>
  </si>
  <si>
    <t xml:space="preserve">Maybe, depends on price</t>
  </si>
  <si>
    <t xml:space="preserve">Exclusive extra digital content</t>
  </si>
  <si>
    <t xml:space="preserve">Some articles are valuable but digital alternatives are convenient</t>
  </si>
  <si>
    <t xml:space="preserve">More interactive content and data visualisations</t>
  </si>
  <si>
    <t xml:space="preserve">Yes, in the past</t>
  </si>
  <si>
    <t xml:space="preserve">The New York Times</t>
  </si>
  <si>
    <t xml:space="preserve">R-003</t>
  </si>
  <si>
    <t xml:space="preserve">26-35</t>
  </si>
  <si>
    <t xml:space="preserve">West India</t>
  </si>
  <si>
    <t xml:space="preserve">Forbes India</t>
  </si>
  <si>
    <t xml:space="preserve">Social media</t>
  </si>
  <si>
    <t xml:space="preserve">Price or promotional offer</t>
  </si>
  <si>
    <t xml:space="preserve">Both print and digital</t>
  </si>
  <si>
    <t xml:space="preserve">Extra free months on renewal</t>
  </si>
  <si>
    <t xml:space="preserve">I find the magazine useful for staying updated</t>
  </si>
  <si>
    <t xml:space="preserve">Improved customer service</t>
  </si>
  <si>
    <t xml:space="preserve">R-004</t>
  </si>
  <si>
    <t xml:space="preserve">65+</t>
  </si>
  <si>
    <t xml:space="preserve">Female</t>
  </si>
  <si>
    <t xml:space="preserve">Central India</t>
  </si>
  <si>
    <t xml:space="preserve">Retired</t>
  </si>
  <si>
    <t xml:space="preserve">Open Magazine</t>
  </si>
  <si>
    <t xml:space="preserve">Online search</t>
  </si>
  <si>
    <t xml:space="preserve">Influenced by family, friends, or colleagues</t>
  </si>
  <si>
    <t xml:space="preserve">More than 5 years</t>
  </si>
  <si>
    <t xml:space="preserve">Referral rewards; Exclusive extra digital content; A price-lock guarantee against future increases</t>
  </si>
  <si>
    <t xml:space="preserve">Good mix of business news, trends and practical insights</t>
  </si>
  <si>
    <t xml:space="preserve">More current business and market coverage</t>
  </si>
  <si>
    <t xml:space="preserve">R-005</t>
  </si>
  <si>
    <t xml:space="preserve">Outlook</t>
  </si>
  <si>
    <t xml:space="preserve">Other</t>
  </si>
  <si>
    <t xml:space="preserve">Read it cover-to-cover</t>
  </si>
  <si>
    <t xml:space="preserve">Referral rewards; Extra free months on renewal; Discounted multi-title bundle</t>
  </si>
  <si>
    <t xml:space="preserve">Good content and useful analysis, but there is room for improvement</t>
  </si>
  <si>
    <t xml:space="preserve">More regional and local business stories</t>
  </si>
  <si>
    <t xml:space="preserve">The Economist</t>
  </si>
  <si>
    <t xml:space="preserve">R-006</t>
  </si>
  <si>
    <t xml:space="preserve">A price-lock guarantee against future increases</t>
  </si>
  <si>
    <t xml:space="preserve">More exclusive interviews and expert opinions</t>
  </si>
  <si>
    <t xml:space="preserve">R-007</t>
  </si>
  <si>
    <t xml:space="preserve">Freelancer</t>
  </si>
  <si>
    <t xml:space="preserve">The Week</t>
  </si>
  <si>
    <t xml:space="preserve">Less than 6 months</t>
  </si>
  <si>
    <t xml:space="preserve">Extra free months on renewal; Exclusive extra digital content</t>
  </si>
  <si>
    <t xml:space="preserve">R-008</t>
  </si>
  <si>
    <t xml:space="preserve">Business owner or self-employed</t>
  </si>
  <si>
    <t xml:space="preserve">Outlook; India Today</t>
  </si>
  <si>
    <t xml:space="preserve">Switched to another source</t>
  </si>
  <si>
    <t xml:space="preserve">A price-lock guarantee against future increases; Free gift or merchandise; Discounted multi-title bundle</t>
  </si>
  <si>
    <t xml:space="preserve">Generally informative, although some issues are stronger than others</t>
  </si>
  <si>
    <t xml:space="preserve">R-009</t>
  </si>
  <si>
    <t xml:space="preserve">Habit or brand legacy</t>
  </si>
  <si>
    <t xml:space="preserve">Exclusive extra digital content; Extra free months on renewal</t>
  </si>
  <si>
    <t xml:space="preserve">I mainly read selected sections</t>
  </si>
  <si>
    <t xml:space="preserve">R-010</t>
  </si>
  <si>
    <t xml:space="preserve">North India</t>
  </si>
  <si>
    <t xml:space="preserve">India Today; Frontline</t>
  </si>
  <si>
    <t xml:space="preserve">Promotional offer or discount</t>
  </si>
  <si>
    <t xml:space="preserve">Free gift or merchandise</t>
  </si>
  <si>
    <t xml:space="preserve">A better digital reading experience</t>
  </si>
  <si>
    <t xml:space="preserve">R-011</t>
  </si>
  <si>
    <t xml:space="preserve">36-50</t>
  </si>
  <si>
    <t xml:space="preserve">Decline in content quality</t>
  </si>
  <si>
    <t xml:space="preserve">A price-lock guarantee against future increases; Referral rewards</t>
  </si>
  <si>
    <t xml:space="preserve">The content is decent but the price matters to me</t>
  </si>
  <si>
    <t xml:space="preserve">R-012</t>
  </si>
  <si>
    <t xml:space="preserve">Newsstand or vendor</t>
  </si>
  <si>
    <t xml:space="preserve">R-013</t>
  </si>
  <si>
    <t xml:space="preserve">It has become a regular source of information for me</t>
  </si>
  <si>
    <t xml:space="preserve">More in-depth and original analysis</t>
  </si>
  <si>
    <t xml:space="preserve">TIME</t>
  </si>
  <si>
    <t xml:space="preserve">R-014</t>
  </si>
  <si>
    <t xml:space="preserve">Convenience of access</t>
  </si>
  <si>
    <t xml:space="preserve">Referral rewards</t>
  </si>
  <si>
    <t xml:space="preserve">R-015</t>
  </si>
  <si>
    <t xml:space="preserve">R-016</t>
  </si>
  <si>
    <t xml:space="preserve">Discounted multi-title bundle</t>
  </si>
  <si>
    <t xml:space="preserve">R-017</t>
  </si>
  <si>
    <t xml:space="preserve">Consistently useful content and strong editorial quality</t>
  </si>
  <si>
    <t xml:space="preserve">R-018</t>
  </si>
  <si>
    <t xml:space="preserve">Business Today; Frontline</t>
  </si>
  <si>
    <t xml:space="preserve">A price-lock guarantee against future increases; Discounted multi-title bundle</t>
  </si>
  <si>
    <t xml:space="preserve">R-019</t>
  </si>
  <si>
    <t xml:space="preserve">India Today; Forbes India</t>
  </si>
  <si>
    <t xml:space="preserve">R-020</t>
  </si>
  <si>
    <t xml:space="preserve">Business Today; India Today</t>
  </si>
  <si>
    <t xml:space="preserve">Discounted multi-title bundle; Free gift or merchandise; A price-lock guarantee against future increases</t>
  </si>
  <si>
    <t xml:space="preserve">The quality is good enough to recommend to colleagues</t>
  </si>
  <si>
    <t xml:space="preserve">R-021</t>
  </si>
  <si>
    <t xml:space="preserve">India Today; Outlook</t>
  </si>
  <si>
    <t xml:space="preserve">R-022</t>
  </si>
  <si>
    <t xml:space="preserve">Discounted multi-title bundle; Referral rewards</t>
  </si>
  <si>
    <t xml:space="preserve">R-023</t>
  </si>
  <si>
    <t xml:space="preserve">Referral rewards; Discounted multi-title bundle</t>
  </si>
  <si>
    <t xml:space="preserve">R-024</t>
  </si>
  <si>
    <t xml:space="preserve">3-5 years</t>
  </si>
  <si>
    <t xml:space="preserve">R-025</t>
  </si>
  <si>
    <t xml:space="preserve">Prefer not to say</t>
  </si>
  <si>
    <t xml:space="preserve">The Week; India Today</t>
  </si>
  <si>
    <t xml:space="preserve">A price-lock guarantee against future increases; Exclusive extra digital content; Discounted multi-title bundle</t>
  </si>
  <si>
    <t xml:space="preserve">More competitive pricing and subscription bundles</t>
  </si>
  <si>
    <t xml:space="preserve">R-026</t>
  </si>
  <si>
    <t xml:space="preserve">Forbes India; Business Today</t>
  </si>
  <si>
    <t xml:space="preserve">Lack of time to read</t>
  </si>
  <si>
    <t xml:space="preserve">The subscription feels expensive for the amount I read</t>
  </si>
  <si>
    <t xml:space="preserve">R-027</t>
  </si>
  <si>
    <t xml:space="preserve">R-028</t>
  </si>
  <si>
    <t xml:space="preserve">India Today; Business Today</t>
  </si>
  <si>
    <t xml:space="preserve">R-029</t>
  </si>
  <si>
    <t xml:space="preserve">A price-lock guarantee against future increases; Extra free months on renewal</t>
  </si>
  <si>
    <t xml:space="preserve">Better personalisation of articles</t>
  </si>
  <si>
    <t xml:space="preserve">R-030</t>
  </si>
  <si>
    <t xml:space="preserve">Forbes India; Business Today; India Today</t>
  </si>
  <si>
    <t xml:space="preserve">Useful content, but I do not read every issue closely</t>
  </si>
  <si>
    <t xml:space="preserve">R-031</t>
  </si>
  <si>
    <t xml:space="preserve">Business Today; The Week</t>
  </si>
  <si>
    <t xml:space="preserve">Exclusive extra digital content; A price-lock guarantee against future increases</t>
  </si>
  <si>
    <t xml:space="preserve">R-032</t>
  </si>
  <si>
    <t xml:space="preserve">R-033</t>
  </si>
  <si>
    <t xml:space="preserve">Discounted multi-title bundle; Referral rewards; Free gift or merchandise</t>
  </si>
  <si>
    <t xml:space="preserve">R-034</t>
  </si>
  <si>
    <t xml:space="preserve">A price-lock guarantee against future increases; Free gift or merchandise; Exclusive extra digital content</t>
  </si>
  <si>
    <t xml:space="preserve">R-035</t>
  </si>
  <si>
    <t xml:space="preserve">India Today; Outlook; Frontline</t>
  </si>
  <si>
    <t xml:space="preserve">R-036</t>
  </si>
  <si>
    <t xml:space="preserve">The Week; Outlook</t>
  </si>
  <si>
    <t xml:space="preserve">R-037</t>
  </si>
  <si>
    <t xml:space="preserve">R-038</t>
  </si>
  <si>
    <t xml:space="preserve">Frontline; Business Today</t>
  </si>
  <si>
    <t xml:space="preserve">A price-lock guarantee against future increases; Exclusive extra digital content</t>
  </si>
  <si>
    <t xml:space="preserve">R-039</t>
  </si>
  <si>
    <t xml:space="preserve">India Today; Business Today; Forbes India</t>
  </si>
  <si>
    <t xml:space="preserve">Exclusive extra digital content; Referral rewards</t>
  </si>
  <si>
    <t xml:space="preserve">R-040</t>
  </si>
  <si>
    <t xml:space="preserve">The Week; Business Today; Outlook</t>
  </si>
  <si>
    <t xml:space="preserve">Free gift or merchandise; Extra free months on renewal</t>
  </si>
  <si>
    <t xml:space="preserve">Content could be more relevant to my interests</t>
  </si>
  <si>
    <t xml:space="preserve">R-041</t>
  </si>
  <si>
    <t xml:space="preserve">R-042</t>
  </si>
  <si>
    <t xml:space="preserve">India Today; Open Magazine</t>
  </si>
  <si>
    <t xml:space="preserve">Exclusive extra digital content; Referral rewards; Discounted multi-title bundle</t>
  </si>
  <si>
    <t xml:space="preserve">R-043</t>
  </si>
  <si>
    <t xml:space="preserve">I do not currently read an Indian magazine regularly.</t>
  </si>
  <si>
    <t xml:space="preserve">More accessible and engaging content</t>
  </si>
  <si>
    <t xml:space="preserve">R-044</t>
  </si>
  <si>
    <t xml:space="preserve">Discounted multi-title bundle; Free gift or merchandise</t>
  </si>
  <si>
    <t xml:space="preserve">R-045</t>
  </si>
  <si>
    <t xml:space="preserve">The Week; Open Magazine</t>
  </si>
  <si>
    <t xml:space="preserve">I can get much of the information from online sources</t>
  </si>
  <si>
    <t xml:space="preserve">R-046</t>
  </si>
  <si>
    <t xml:space="preserve">R-047</t>
  </si>
  <si>
    <t xml:space="preserve">R-048</t>
  </si>
  <si>
    <t xml:space="preserve">I rarely read the magazine in full</t>
  </si>
  <si>
    <t xml:space="preserve">R-049</t>
  </si>
  <si>
    <t xml:space="preserve">R-050</t>
  </si>
  <si>
    <t xml:space="preserve">Outside India</t>
  </si>
  <si>
    <t xml:space="preserve">R-051</t>
  </si>
  <si>
    <t xml:space="preserve">Frontline</t>
  </si>
  <si>
    <t xml:space="preserve">R-052</t>
  </si>
  <si>
    <t xml:space="preserve">R-053</t>
  </si>
  <si>
    <t xml:space="preserve">Frontline; India Today</t>
  </si>
  <si>
    <t xml:space="preserve">Discounted multi-title bundle; Exclusive extra digital content</t>
  </si>
  <si>
    <t xml:space="preserve">R-054</t>
  </si>
  <si>
    <t xml:space="preserve">Exclusive extra digital content; A price-lock guarantee against future increases; Discounted multi-title bundle</t>
  </si>
  <si>
    <t xml:space="preserve">R-055</t>
  </si>
  <si>
    <t xml:space="preserve">R-056</t>
  </si>
  <si>
    <t xml:space="preserve">R-057</t>
  </si>
  <si>
    <t xml:space="preserve">R-058</t>
  </si>
  <si>
    <t xml:space="preserve">Discounted multi-title bundle; Free gift or merchandise; Extra free months on renewal</t>
  </si>
  <si>
    <t xml:space="preserve">R-059</t>
  </si>
  <si>
    <t xml:space="preserve">The Week; Business Today</t>
  </si>
  <si>
    <t xml:space="preserve">R-060</t>
  </si>
  <si>
    <t xml:space="preserve">R-061</t>
  </si>
  <si>
    <t xml:space="preserve">Exclusive extra digital content; Discounted multi-title bundle</t>
  </si>
  <si>
    <t xml:space="preserve">R-062</t>
  </si>
  <si>
    <t xml:space="preserve">R-063</t>
  </si>
  <si>
    <t xml:space="preserve">R-064</t>
  </si>
  <si>
    <t xml:space="preserve">R-065</t>
  </si>
  <si>
    <t xml:space="preserve">Outlook; Business Today</t>
  </si>
  <si>
    <t xml:space="preserve">A price-lock guarantee against future increases; Exclusive extra digital content; Free gift or merchandise</t>
  </si>
  <si>
    <t xml:space="preserve">R-066</t>
  </si>
  <si>
    <t xml:space="preserve">Business Today; Forbes India; The Week</t>
  </si>
  <si>
    <t xml:space="preserve">R-067</t>
  </si>
  <si>
    <t xml:space="preserve">R-068</t>
  </si>
  <si>
    <t xml:space="preserve">Business Today; India Today; Outlook</t>
  </si>
  <si>
    <t xml:space="preserve">R-069</t>
  </si>
  <si>
    <t xml:space="preserve">R-070</t>
  </si>
  <si>
    <t xml:space="preserve">R-071</t>
  </si>
  <si>
    <t xml:space="preserve">Discounted multi-title bundle; A price-lock guarantee against future increases; Free gift or merchandise</t>
  </si>
  <si>
    <t xml:space="preserve">R-072</t>
  </si>
  <si>
    <t xml:space="preserve">R-073</t>
  </si>
  <si>
    <t xml:space="preserve">R-074</t>
  </si>
  <si>
    <t xml:space="preserve">R-075</t>
  </si>
  <si>
    <t xml:space="preserve">Discounted multi-title bundle; Extra free months on renewal</t>
  </si>
  <si>
    <t xml:space="preserve">R-076</t>
  </si>
  <si>
    <t xml:space="preserve">R-077</t>
  </si>
  <si>
    <t xml:space="preserve">Forbes India; The Week; Business Today</t>
  </si>
  <si>
    <t xml:space="preserve">R-078</t>
  </si>
  <si>
    <t xml:space="preserve">The Week; Forbes India</t>
  </si>
  <si>
    <t xml:space="preserve">R-079</t>
  </si>
  <si>
    <t xml:space="preserve">R-080</t>
  </si>
  <si>
    <t xml:space="preserve">R-081</t>
  </si>
  <si>
    <t xml:space="preserve">R-082</t>
  </si>
  <si>
    <t xml:space="preserve">R-083</t>
  </si>
  <si>
    <t xml:space="preserve">R-084</t>
  </si>
  <si>
    <t xml:space="preserve">R-085</t>
  </si>
  <si>
    <t xml:space="preserve">Outlook; The Week</t>
  </si>
  <si>
    <t xml:space="preserve">R-086</t>
  </si>
  <si>
    <t xml:space="preserve">R-087</t>
  </si>
  <si>
    <t xml:space="preserve">R-088</t>
  </si>
  <si>
    <t xml:space="preserve">A price-lock guarantee against future increases; Extra free months on renewal; Referral rewards</t>
  </si>
  <si>
    <t xml:space="preserve">R-089</t>
  </si>
  <si>
    <t xml:space="preserve">R-090</t>
  </si>
  <si>
    <t xml:space="preserve">R-091</t>
  </si>
  <si>
    <t xml:space="preserve">R-092</t>
  </si>
  <si>
    <t xml:space="preserve">Business Today; Outlook</t>
  </si>
  <si>
    <t xml:space="preserve">R-093</t>
  </si>
  <si>
    <t xml:space="preserve">R-094</t>
  </si>
  <si>
    <t xml:space="preserve">R-095</t>
  </si>
  <si>
    <t xml:space="preserve">R-096</t>
  </si>
  <si>
    <t xml:space="preserve">Outlook; India Today; The Week</t>
  </si>
  <si>
    <t xml:space="preserve">R-097</t>
  </si>
  <si>
    <t xml:space="preserve">R-098</t>
  </si>
  <si>
    <t xml:space="preserve">R-099</t>
  </si>
  <si>
    <t xml:space="preserve">R-100</t>
  </si>
  <si>
    <t xml:space="preserve">R-101</t>
  </si>
  <si>
    <t xml:space="preserve">R-102</t>
  </si>
  <si>
    <t xml:space="preserve">R-103</t>
  </si>
  <si>
    <t xml:space="preserve">Referral rewards; Extra free months on renewal</t>
  </si>
  <si>
    <t xml:space="preserve">R-104</t>
  </si>
  <si>
    <t xml:space="preserve">R-105</t>
  </si>
  <si>
    <t xml:space="preserve">Under 18</t>
  </si>
  <si>
    <t xml:space="preserve">R-106</t>
  </si>
  <si>
    <t xml:space="preserve">R-107</t>
  </si>
  <si>
    <t xml:space="preserve">Exclusive extra digital content; Discounted multi-title bundle; Referral rewards</t>
  </si>
  <si>
    <t xml:space="preserve">R-108</t>
  </si>
  <si>
    <t xml:space="preserve">Exclusive extra digital content; Discounted multi-title bundle; Free gift or merchandise</t>
  </si>
  <si>
    <t xml:space="preserve">R-109</t>
  </si>
  <si>
    <t xml:space="preserve">R-110</t>
  </si>
  <si>
    <t xml:space="preserve">Extra free months on renewal; A price-lock guarantee against future increases</t>
  </si>
  <si>
    <t xml:space="preserve">R-111</t>
  </si>
  <si>
    <t xml:space="preserve">The Week; Frontline</t>
  </si>
  <si>
    <t xml:space="preserve">R-112</t>
  </si>
  <si>
    <t xml:space="preserve">R-113</t>
  </si>
  <si>
    <t xml:space="preserve">R-114</t>
  </si>
  <si>
    <t xml:space="preserve">R-115</t>
  </si>
  <si>
    <t xml:space="preserve">R-116</t>
  </si>
  <si>
    <t xml:space="preserve">Extra free months on renewal; Free gift or merchandise</t>
  </si>
  <si>
    <t xml:space="preserve">R-117</t>
  </si>
  <si>
    <t xml:space="preserve">India Today; The Week</t>
  </si>
  <si>
    <t xml:space="preserve">R-118</t>
  </si>
  <si>
    <t xml:space="preserve">A price-lock guarantee against future increases; Discounted multi-title bundle; Free gift or merchandise</t>
  </si>
  <si>
    <t xml:space="preserve">R-119</t>
  </si>
  <si>
    <t xml:space="preserve">R-120</t>
  </si>
  <si>
    <t xml:space="preserve">R-121</t>
  </si>
  <si>
    <t xml:space="preserve">R-122</t>
  </si>
  <si>
    <t xml:space="preserve">R-123</t>
  </si>
  <si>
    <t xml:space="preserve">R-124</t>
  </si>
  <si>
    <t xml:space="preserve">R-125</t>
  </si>
  <si>
    <t xml:space="preserve">Extra free months on renewal; A price-lock guarantee against future increases; Discounted multi-title bundle</t>
  </si>
  <si>
    <t xml:space="preserve">R-126</t>
  </si>
  <si>
    <t xml:space="preserve">R-127</t>
  </si>
  <si>
    <t xml:space="preserve">R-128</t>
  </si>
  <si>
    <t xml:space="preserve">R-129</t>
  </si>
  <si>
    <t xml:space="preserve">R-130</t>
  </si>
  <si>
    <t xml:space="preserve">R-131</t>
  </si>
  <si>
    <t xml:space="preserve">Outlook; Frontline</t>
  </si>
  <si>
    <t xml:space="preserve">R-132</t>
  </si>
  <si>
    <t xml:space="preserve">R-133</t>
  </si>
  <si>
    <t xml:space="preserve">Column</t>
  </si>
  <si>
    <t xml:space="preserve">Description</t>
  </si>
  <si>
    <t xml:space="preserve">Synthetic Respondent ID</t>
  </si>
  <si>
    <t xml:space="preserve">Synthetic identifier only; not a real respondent ID.</t>
  </si>
  <si>
    <t xml:space="preserve">Whether respondent currently reads or has read an Indian news/business magazine.</t>
  </si>
  <si>
    <t xml:space="preserve">Age category from survey.</t>
  </si>
  <si>
    <t xml:space="preserve">Gender category from survey.</t>
  </si>
  <si>
    <t xml:space="preserve">Region category from survey.</t>
  </si>
  <si>
    <t xml:space="preserve">Occupation category from survey.</t>
  </si>
  <si>
    <t xml:space="preserve">Selected magazine titles; multiple selections separated by semicolons.</t>
  </si>
  <si>
    <t xml:space="preserve">First discovery channel.</t>
  </si>
  <si>
    <t xml:space="preserve">Primary initial reading/subscription reason.</t>
  </si>
  <si>
    <t xml:space="preserve">Length of reading/subscription.</t>
  </si>
  <si>
    <t xml:space="preserve">Current access format.</t>
  </si>
  <si>
    <t xml:space="preserve">Typical depth of reading.</t>
  </si>
  <si>
    <t xml:space="preserve">Whether cancellation/non-renewal was seriously considered.</t>
  </si>
  <si>
    <t xml:space="preserve">Reason for cancellation consideration; Not applicable when No.</t>
  </si>
  <si>
    <t xml:space="preserve">Whether respondent subscribed to multiple titles from same publisher.</t>
  </si>
  <si>
    <t xml:space="preserve">Interest in a bundle offer.</t>
  </si>
  <si>
    <t xml:space="preserve">One or more promotional offers selected.</t>
  </si>
  <si>
    <t xml:space="preserve">0–10 recommendation likelihood.</t>
  </si>
  <si>
    <t xml:space="preserve">Open-ended reason for recommendation score.</t>
  </si>
  <si>
    <t xml:space="preserve">Open-ended improvement suggestion.</t>
  </si>
  <si>
    <t xml:space="preserve">International publication subscription status.</t>
  </si>
  <si>
    <t xml:space="preserve">International publication named when applicable.</t>
  </si>
  <si>
    <t xml:space="preserve">Overall Net Promoter Score</t>
  </si>
  <si>
    <t xml:space="preserve">Promoters score 9-10, Passives score 7-8, Detractors score 0-6 on 'How likely are you to recommend this magazine to a friend or colleague?' (0-10 scale). NPS = %Promoters - %Detractors. Screened-out respondents (answered 'No' to reading any Indian news/business magazine) are excluded.</t>
  </si>
  <si>
    <t xml:space="preserve">n (valid respondents)</t>
  </si>
  <si>
    <t xml:space="preserve">Promoters (9-10)</t>
  </si>
  <si>
    <t xml:space="preserve">Passives (7-8)</t>
  </si>
  <si>
    <t xml:space="preserve">Detractors (0-6)</t>
  </si>
  <si>
    <t xml:space="preserve">NPS score</t>
  </si>
  <si>
    <t xml:space="preserve">Interpretation</t>
  </si>
  <si>
    <t xml:space="preserve">A positive but modest overall NPS indicates promoters outnumber detractors, but a large passive middle (score 7-8) means the base is only lightly loyal - satisfied enough not to complain, not enthusiastic enough to actively advocate. This is the group most winnable with a well-targeted retention or development offer (see Lifecycle - Development).</t>
  </si>
  <si>
    <t xml:space="preserve">Segment Comparison — Competitor Analysis (6 Titles)</t>
  </si>
  <si>
    <t xml:space="preserve">Respondents could select more than one magazine, so segment n's overlap (they are not mutually exclusive). Magazine text is matched with a wildcard COUNTIFS (e.g. *India Today*) against the multi-select field on Raw Data.</t>
  </si>
  <si>
    <t xml:space="preserve">Magazine</t>
  </si>
  <si>
    <t xml:space="preserve">n (mentions)</t>
  </si>
  <si>
    <t xml:space="preserve">Promoters</t>
  </si>
  <si>
    <t xml:space="preserve">Passives</t>
  </si>
  <si>
    <t xml:space="preserve">Detractors</t>
  </si>
  <si>
    <t xml:space="preserve">NPS</t>
  </si>
  <si>
    <t xml:space="preserve">Churn consideration %</t>
  </si>
  <si>
    <t xml:space="preserve">Bundle interest (Yes) %</t>
  </si>
  <si>
    <t xml:space="preserve">Multi-title %</t>
  </si>
  <si>
    <t xml:space="preserve">Customer Lifecycle — Acquisition</t>
  </si>
  <si>
    <t xml:space="preserve">How readers first discovered their magazine, and their primary reason for starting to read or subscribe.</t>
  </si>
  <si>
    <t xml:space="preserve">Category</t>
  </si>
  <si>
    <t xml:space="preserve">Count</t>
  </si>
  <si>
    <t xml:space="preserve">% of respondents</t>
  </si>
  <si>
    <t xml:space="preserve">NPS by discovery channel (does acquisition channel predict loyalty?)</t>
  </si>
  <si>
    <t xml:space="preserve">Discovery channel</t>
  </si>
  <si>
    <t xml:space="preserve">n</t>
  </si>
  <si>
    <t xml:space="preserve">Customer Lifecycle — Retention</t>
  </si>
  <si>
    <t xml:space="preserve">1. Subscription/reading tenure</t>
  </si>
  <si>
    <t xml:space="preserve">2. Current access mode</t>
  </si>
  <si>
    <t xml:space="preserve">3. Churn risk: seriously considered cancelling?</t>
  </si>
  <si>
    <t xml:space="preserve">4. Among those who considered cancelling: main reason</t>
  </si>
  <si>
    <t xml:space="preserve">Reason</t>
  </si>
  <si>
    <t xml:space="preserve">% of considerers</t>
  </si>
  <si>
    <t xml:space="preserve">Customer Lifecycle — Development</t>
  </si>
  <si>
    <t xml:space="preserve">1. Already subscribed to more than one magazine from the same publisher?</t>
  </si>
  <si>
    <t xml:space="preserve">2. Interested in a bundled offer</t>
  </si>
  <si>
    <t xml:space="preserve">3. Which promotional offers would drive upgrade/renewal (multi-select)</t>
  </si>
  <si>
    <t xml:space="preserve">Promo offer</t>
  </si>
  <si>
    <t xml:space="preserve">Mentions</t>
  </si>
  <si>
    <t xml:space="preserve">% of valid respondents</t>
  </si>
  <si>
    <t xml:space="preserve">International Comparison</t>
  </si>
  <si>
    <t xml:space="preserve">Respondent exposure to international publications, to be read alongside the secondary research on Indian vs. international subscription pricing models in the Word report.</t>
  </si>
  <si>
    <t xml:space="preserve">NPS: respondents with international exposure vs. without</t>
  </si>
  <si>
    <t xml:space="preserve">Group</t>
  </si>
  <si>
    <t xml:space="preserve">Has international exposure</t>
  </si>
  <si>
    <t xml:space="preserve">No international exposure</t>
  </si>
  <si>
    <t xml:space="preserve">Final Results — CRM Module</t>
  </si>
  <si>
    <t xml:space="preserve">Headline numbers behind the Word report. Full detail and live formulas are on each corresponding sheet.</t>
  </si>
  <si>
    <t xml:space="preserve">Metric</t>
  </si>
  <si>
    <t xml:space="preserve">Value</t>
  </si>
  <si>
    <t xml:space="preserve">Total responses collected</t>
  </si>
  <si>
    <t xml:space="preserve">Valid responses (screened in)</t>
  </si>
  <si>
    <t xml:space="preserve">Overall NPS</t>
  </si>
  <si>
    <t xml:space="preserve">% who seriously considered cancelling</t>
  </si>
  <si>
    <t xml:space="preserve">% subscribed to &gt;1 title from same publisher</t>
  </si>
  <si>
    <t xml:space="preserve">% interested in a bundled offer (Yes)</t>
  </si>
  <si>
    <t xml:space="preserve">% with international publication exposure</t>
  </si>
  <si>
    <t xml:space="preserve">Segment leaderboard (NPS)</t>
  </si>
  <si>
    <t xml:space="preserve">See 'Segment Comparison' sheet for the full 6-title breakdown with churn, bundle interest and multi-title rate.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</si>
</sst>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General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2E75B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NPS composition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'Overall NPS'!$B$8:$B$10</c:f>
              <c:strCache>
                <c:ptCount val="3"/>
                <c:pt idx="0">
                  <c:v>Promoters (9-10)</c:v>
                </c:pt>
                <c:pt idx="1">
                  <c:v>Passives (7-8)</c:v>
                </c:pt>
                <c:pt idx="2">
                  <c:v>Detractors (0-6)</c:v>
                </c:pt>
              </c:strCache>
            </c:strRef>
          </c:cat>
          <c:val>
            <c:numRef>
              <c:f>'Overall NPS'!$C$8:$C$10</c:f>
              <c:numCache>
                <c:formatCode>General</c:formatCode>
                <c:ptCount val="3"/>
                <c:pt idx="0">
                  <c:v>50</c:v>
                </c:pt>
                <c:pt idx="1">
                  <c:v>37</c:v>
                </c:pt>
                <c:pt idx="2">
                  <c:v>36</c:v>
                </c:pt>
              </c:numCache>
            </c:numRef>
          </c:val>
        </c:ser>
        <c:gapWidth val="150"/>
        <c:overlap val="0"/>
        <c:axId val="47056465"/>
        <c:axId val="71383427"/>
      </c:barChart>
      <c:catAx>
        <c:axId val="470564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83427"/>
        <c:crosses val="autoZero"/>
        <c:auto val="1"/>
        <c:lblAlgn val="ctr"/>
        <c:lblOffset val="100"/>
        <c:noMultiLvlLbl val="0"/>
      </c:catAx>
      <c:valAx>
        <c:axId val="71383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564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NPS by magazine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Comparison'!$B$8:$B$13</c:f>
              <c:strCache>
                <c:ptCount val="6"/>
                <c:pt idx="0">
                  <c:v>India Today</c:v>
                </c:pt>
                <c:pt idx="1">
                  <c:v>Business Today</c:v>
                </c:pt>
                <c:pt idx="2">
                  <c:v>Outlook</c:v>
                </c:pt>
                <c:pt idx="3">
                  <c:v>The Week</c:v>
                </c:pt>
                <c:pt idx="4">
                  <c:v>Forbes India</c:v>
                </c:pt>
                <c:pt idx="5">
                  <c:v>Frontline</c:v>
                </c:pt>
              </c:strCache>
            </c:strRef>
          </c:cat>
          <c:val>
            <c:numRef>
              <c:f>'Segment Comparison'!$G$8:$G$13</c:f>
              <c:numCache>
                <c:formatCode>0.0</c:formatCode>
                <c:ptCount val="6"/>
                <c:pt idx="0">
                  <c:v>15.2173913043478</c:v>
                </c:pt>
                <c:pt idx="1">
                  <c:v>-2.22222222222222</c:v>
                </c:pt>
                <c:pt idx="2">
                  <c:v>13.3333333333333</c:v>
                </c:pt>
                <c:pt idx="3">
                  <c:v>19.2307692307692</c:v>
                </c:pt>
                <c:pt idx="4">
                  <c:v>-8</c:v>
                </c:pt>
                <c:pt idx="5">
                  <c:v>30.7692307692308</c:v>
                </c:pt>
              </c:numCache>
            </c:numRef>
          </c:val>
        </c:ser>
        <c:gapWidth val="150"/>
        <c:overlap val="0"/>
        <c:axId val="48695696"/>
        <c:axId val="6714636"/>
      </c:barChart>
      <c:catAx>
        <c:axId val="4869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4636"/>
        <c:crosses val="autoZero"/>
        <c:auto val="1"/>
        <c:lblAlgn val="ctr"/>
        <c:lblOffset val="100"/>
        <c:noMultiLvlLbl val="0"/>
      </c:catAx>
      <c:valAx>
        <c:axId val="67146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956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Discovery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'Lifecycle - Acquisition'!$B$8:$B$14</c:f>
              <c:strCache>
                <c:ptCount val="7"/>
                <c:pt idx="0">
                  <c:v>Family or friend recommendation</c:v>
                </c:pt>
                <c:pt idx="1">
                  <c:v>Social media</c:v>
                </c:pt>
                <c:pt idx="2">
                  <c:v>Online search</c:v>
                </c:pt>
                <c:pt idx="3">
                  <c:v>Newsstand or vendor</c:v>
                </c:pt>
                <c:pt idx="4">
                  <c:v>Bundled with another subscription</c:v>
                </c:pt>
                <c:pt idx="5">
                  <c:v>Promotional offer or discount</c:v>
                </c:pt>
                <c:pt idx="6">
                  <c:v>Other</c:v>
                </c:pt>
              </c:strCache>
            </c:strRef>
          </c:cat>
          <c:val>
            <c:numRef>
              <c:f>'Lifecycle - Acquisition'!$D$8:$D$14</c:f>
              <c:numCache>
                <c:formatCode>0.0%</c:formatCode>
                <c:ptCount val="7"/>
                <c:pt idx="0">
                  <c:v>0.24390243902439</c:v>
                </c:pt>
                <c:pt idx="1">
                  <c:v>0.235772357723577</c:v>
                </c:pt>
                <c:pt idx="2">
                  <c:v>0.186991869918699</c:v>
                </c:pt>
                <c:pt idx="3">
                  <c:v>0.138211382113821</c:v>
                </c:pt>
                <c:pt idx="4">
                  <c:v>0.113821138211382</c:v>
                </c:pt>
                <c:pt idx="5">
                  <c:v>0.0731707317073171</c:v>
                </c:pt>
                <c:pt idx="6">
                  <c:v>0.00813008130081301</c:v>
                </c:pt>
              </c:numCache>
            </c:numRef>
          </c:val>
        </c:ser>
        <c:gapWidth val="150"/>
        <c:overlap val="0"/>
        <c:axId val="51419966"/>
        <c:axId val="75095916"/>
      </c:barChart>
      <c:catAx>
        <c:axId val="514199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95916"/>
        <c:crosses val="autoZero"/>
        <c:auto val="1"/>
        <c:lblAlgn val="ctr"/>
        <c:lblOffset val="100"/>
        <c:noMultiLvlLbl val="0"/>
      </c:catAx>
      <c:valAx>
        <c:axId val="750959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199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Initial subscription reason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'Lifecycle - Acquisition'!$B$19:$B$24</c:f>
              <c:strCache>
                <c:ptCount val="6"/>
                <c:pt idx="0">
                  <c:v>Content quality</c:v>
                </c:pt>
                <c:pt idx="1">
                  <c:v>Price or promotional offer</c:v>
                </c:pt>
                <c:pt idx="2">
                  <c:v>Influenced by family, friends, or colleagues</c:v>
                </c:pt>
                <c:pt idx="3">
                  <c:v>Convenience of access</c:v>
                </c:pt>
                <c:pt idx="4">
                  <c:v>Habit or brand legacy</c:v>
                </c:pt>
                <c:pt idx="5">
                  <c:v>Other</c:v>
                </c:pt>
              </c:strCache>
            </c:strRef>
          </c:cat>
          <c:val>
            <c:numRef>
              <c:f>'Lifecycle - Acquisition'!$D$19:$D$24</c:f>
              <c:numCache>
                <c:formatCode>0.0%</c:formatCode>
                <c:ptCount val="6"/>
                <c:pt idx="0">
                  <c:v>0.422764227642276</c:v>
                </c:pt>
                <c:pt idx="1">
                  <c:v>0.170731707317073</c:v>
                </c:pt>
                <c:pt idx="2">
                  <c:v>0.121951219512195</c:v>
                </c:pt>
                <c:pt idx="3">
                  <c:v>0.121951219512195</c:v>
                </c:pt>
                <c:pt idx="4">
                  <c:v>0.0894308943089431</c:v>
                </c:pt>
                <c:pt idx="5">
                  <c:v>0.0731707317073171</c:v>
                </c:pt>
              </c:numCache>
            </c:numRef>
          </c:val>
        </c:ser>
        <c:gapWidth val="150"/>
        <c:overlap val="0"/>
        <c:axId val="45698884"/>
        <c:axId val="82598064"/>
      </c:barChart>
      <c:catAx>
        <c:axId val="456988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98064"/>
        <c:crosses val="autoZero"/>
        <c:auto val="1"/>
        <c:lblAlgn val="ctr"/>
        <c:lblOffset val="100"/>
        <c:noMultiLvlLbl val="0"/>
      </c:catAx>
      <c:valAx>
        <c:axId val="825980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988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Tenure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'Lifecycle - Retention'!$B$6:$B$10</c:f>
              <c:strCache>
                <c:ptCount val="5"/>
                <c:pt idx="0">
                  <c:v>Less than 6 months</c:v>
                </c:pt>
                <c:pt idx="1">
                  <c:v>6 months to 1 year</c:v>
                </c:pt>
                <c:pt idx="2">
                  <c:v>1-3 years</c:v>
                </c:pt>
                <c:pt idx="3">
                  <c:v>3-5 years</c:v>
                </c:pt>
                <c:pt idx="4">
                  <c:v>More than 5 years</c:v>
                </c:pt>
              </c:strCache>
            </c:strRef>
          </c:cat>
          <c:val>
            <c:numRef>
              <c:f>'Lifecycle - Retention'!$D$6:$D$10</c:f>
              <c:numCache>
                <c:formatCode>0.0%</c:formatCode>
                <c:ptCount val="5"/>
                <c:pt idx="0">
                  <c:v>0.154471544715447</c:v>
                </c:pt>
                <c:pt idx="1">
                  <c:v>0.260162601626016</c:v>
                </c:pt>
                <c:pt idx="2">
                  <c:v>0.260162601626016</c:v>
                </c:pt>
                <c:pt idx="3">
                  <c:v>0.113821138211382</c:v>
                </c:pt>
                <c:pt idx="4">
                  <c:v>0.211382113821138</c:v>
                </c:pt>
              </c:numCache>
            </c:numRef>
          </c:val>
        </c:ser>
        <c:gapWidth val="150"/>
        <c:overlap val="0"/>
        <c:axId val="21332160"/>
        <c:axId val="26203730"/>
      </c:barChart>
      <c:catAx>
        <c:axId val="2133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03730"/>
        <c:crosses val="autoZero"/>
        <c:auto val="1"/>
        <c:lblAlgn val="ctr"/>
        <c:lblOffset val="100"/>
        <c:noMultiLvlLbl val="0"/>
      </c:catAx>
      <c:valAx>
        <c:axId val="262037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321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Access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'Lifecycle - Retention'!$B$15:$B$17</c:f>
              <c:strCache>
                <c:ptCount val="3"/>
                <c:pt idx="0">
                  <c:v>Digital only</c:v>
                </c:pt>
                <c:pt idx="1">
                  <c:v>Both print and digital</c:v>
                </c:pt>
                <c:pt idx="2">
                  <c:v>Print only</c:v>
                </c:pt>
              </c:strCache>
            </c:strRef>
          </c:cat>
          <c:val>
            <c:numRef>
              <c:f>'Lifecycle - Retention'!$D$15:$D$17</c:f>
              <c:numCache>
                <c:formatCode>0.0%</c:formatCode>
                <c:ptCount val="3"/>
                <c:pt idx="0">
                  <c:v>0.422764227642276</c:v>
                </c:pt>
                <c:pt idx="1">
                  <c:v>0.40650406504065</c:v>
                </c:pt>
                <c:pt idx="2">
                  <c:v>0.170731707317073</c:v>
                </c:pt>
              </c:numCache>
            </c:numRef>
          </c:val>
        </c:ser>
        <c:gapWidth val="150"/>
        <c:overlap val="0"/>
        <c:axId val="84799941"/>
        <c:axId val="71860432"/>
      </c:barChart>
      <c:catAx>
        <c:axId val="84799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60432"/>
        <c:crosses val="autoZero"/>
        <c:auto val="1"/>
        <c:lblAlgn val="ctr"/>
        <c:lblOffset val="100"/>
        <c:noMultiLvlLbl val="0"/>
      </c:catAx>
      <c:valAx>
        <c:axId val="718604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999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Considered cancelling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'Lifecycle - Retention'!$B$22:$B$23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'Lifecycle - Retention'!$D$22:$D$23</c:f>
              <c:numCache>
                <c:formatCode>0.0%</c:formatCode>
                <c:ptCount val="2"/>
                <c:pt idx="0">
                  <c:v>0.373983739837398</c:v>
                </c:pt>
                <c:pt idx="1">
                  <c:v>0.626016260162602</c:v>
                </c:pt>
              </c:numCache>
            </c:numRef>
          </c:val>
        </c:ser>
        <c:gapWidth val="150"/>
        <c:overlap val="0"/>
        <c:axId val="15710012"/>
        <c:axId val="61459776"/>
      </c:barChart>
      <c:catAx>
        <c:axId val="157100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59776"/>
        <c:crosses val="autoZero"/>
        <c:auto val="1"/>
        <c:lblAlgn val="ctr"/>
        <c:lblOffset val="100"/>
        <c:noMultiLvlLbl val="0"/>
      </c:catAx>
      <c:valAx>
        <c:axId val="614597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100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reasons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'Lifecycle - Retention'!$B$28:$B$31</c:f>
              <c:strCache>
                <c:ptCount val="4"/>
                <c:pt idx="0">
                  <c:v>Decline in content quality</c:v>
                </c:pt>
                <c:pt idx="1">
                  <c:v>Price increase</c:v>
                </c:pt>
                <c:pt idx="2">
                  <c:v>Switched to another source</c:v>
                </c:pt>
                <c:pt idx="3">
                  <c:v>Lack of time to read</c:v>
                </c:pt>
              </c:strCache>
            </c:strRef>
          </c:cat>
          <c:val>
            <c:numRef>
              <c:f>'Lifecycle - Retention'!$D$28:$D$31</c:f>
              <c:numCache>
                <c:formatCode>0.0%</c:formatCode>
                <c:ptCount val="4"/>
                <c:pt idx="0">
                  <c:v>0.347826086956522</c:v>
                </c:pt>
                <c:pt idx="1">
                  <c:v>0.304347826086957</c:v>
                </c:pt>
                <c:pt idx="2">
                  <c:v>0.239130434782609</c:v>
                </c:pt>
                <c:pt idx="3">
                  <c:v>0.108695652173913</c:v>
                </c:pt>
              </c:numCache>
            </c:numRef>
          </c:val>
        </c:ser>
        <c:gapWidth val="150"/>
        <c:overlap val="0"/>
        <c:axId val="91978268"/>
        <c:axId val="65683315"/>
      </c:barChart>
      <c:catAx>
        <c:axId val="91978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83315"/>
        <c:crosses val="autoZero"/>
        <c:auto val="1"/>
        <c:lblAlgn val="ctr"/>
        <c:lblOffset val="100"/>
        <c:noMultiLvlLbl val="0"/>
      </c:catAx>
      <c:valAx>
        <c:axId val="65683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782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Multi-title subscription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'Lifecycle - Development'!$B$6:$B$7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'Lifecycle - Development'!$D$6:$D$7</c:f>
              <c:numCache>
                <c:formatCode>0.0%</c:formatCode>
                <c:ptCount val="2"/>
                <c:pt idx="0">
                  <c:v>0.219512195121951</c:v>
                </c:pt>
                <c:pt idx="1">
                  <c:v>0.780487804878049</c:v>
                </c:pt>
              </c:numCache>
            </c:numRef>
          </c:val>
        </c:ser>
        <c:gapWidth val="150"/>
        <c:overlap val="0"/>
        <c:axId val="95078619"/>
        <c:axId val="14915090"/>
      </c:barChart>
      <c:catAx>
        <c:axId val="950786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15090"/>
        <c:crosses val="autoZero"/>
        <c:auto val="1"/>
        <c:lblAlgn val="ctr"/>
        <c:lblOffset val="100"/>
        <c:noMultiLvlLbl val="0"/>
      </c:catAx>
      <c:valAx>
        <c:axId val="149150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786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Bundle interest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'Lifecycle - Development'!$B$12:$B$14</c:f>
              <c:strCache>
                <c:ptCount val="3"/>
                <c:pt idx="0">
                  <c:v>Yes</c:v>
                </c:pt>
                <c:pt idx="1">
                  <c:v>Maybe, depends on price</c:v>
                </c:pt>
                <c:pt idx="2">
                  <c:v>No</c:v>
                </c:pt>
              </c:strCache>
            </c:strRef>
          </c:cat>
          <c:val>
            <c:numRef>
              <c:f>'Lifecycle - Development'!$D$12:$D$14</c:f>
              <c:numCache>
                <c:formatCode>0.0%</c:formatCode>
                <c:ptCount val="3"/>
                <c:pt idx="0">
                  <c:v>0.463414634146342</c:v>
                </c:pt>
                <c:pt idx="1">
                  <c:v>0.365853658536585</c:v>
                </c:pt>
                <c:pt idx="2">
                  <c:v>0.170731707317073</c:v>
                </c:pt>
              </c:numCache>
            </c:numRef>
          </c:val>
        </c:ser>
        <c:gapWidth val="150"/>
        <c:overlap val="0"/>
        <c:axId val="65036150"/>
        <c:axId val="55206107"/>
      </c:barChart>
      <c:catAx>
        <c:axId val="650361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06107"/>
        <c:crosses val="autoZero"/>
        <c:auto val="1"/>
        <c:lblAlgn val="ctr"/>
        <c:lblOffset val="100"/>
        <c:noMultiLvlLbl val="0"/>
      </c:catAx>
      <c:valAx>
        <c:axId val="552061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361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Promo offer preference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'Lifecycle - Development'!$B$19:$B$24</c:f>
              <c:strCache>
                <c:ptCount val="6"/>
                <c:pt idx="0">
                  <c:v>A price-lock guarantee against future increases</c:v>
                </c:pt>
                <c:pt idx="1">
                  <c:v>Discounted multi-title bundle</c:v>
                </c:pt>
                <c:pt idx="2">
                  <c:v>Exclusive extra digital content</c:v>
                </c:pt>
                <c:pt idx="3">
                  <c:v>Extra free months on renewal</c:v>
                </c:pt>
                <c:pt idx="4">
                  <c:v>Free gift or merchandise</c:v>
                </c:pt>
                <c:pt idx="5">
                  <c:v>Referral rewards</c:v>
                </c:pt>
              </c:strCache>
            </c:strRef>
          </c:cat>
          <c:val>
            <c:numRef>
              <c:f>'Lifecycle - Development'!$D$19:$D$24</c:f>
              <c:numCache>
                <c:formatCode>0.0%</c:formatCode>
                <c:ptCount val="6"/>
                <c:pt idx="0">
                  <c:v>0.341463414634146</c:v>
                </c:pt>
                <c:pt idx="1">
                  <c:v>0.317073170731707</c:v>
                </c:pt>
                <c:pt idx="2">
                  <c:v>0.300813008130081</c:v>
                </c:pt>
                <c:pt idx="3">
                  <c:v>0.24390243902439</c:v>
                </c:pt>
                <c:pt idx="4">
                  <c:v>0.195121951219512</c:v>
                </c:pt>
                <c:pt idx="5">
                  <c:v>0.154471544715447</c:v>
                </c:pt>
              </c:numCache>
            </c:numRef>
          </c:val>
        </c:ser>
        <c:gapWidth val="150"/>
        <c:overlap val="0"/>
        <c:axId val="1838617"/>
        <c:axId val="78947427"/>
      </c:barChart>
      <c:catAx>
        <c:axId val="18386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47427"/>
        <c:crosses val="autoZero"/>
        <c:auto val="1"/>
        <c:lblAlgn val="ctr"/>
        <c:lblOffset val="100"/>
        <c:noMultiLvlLbl val="0"/>
      </c:catAx>
      <c:valAx>
        <c:axId val="78947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86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International publication exposure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'International Comparison'!$B$8:$B$10</c:f>
              <c:strCache>
                <c:ptCount val="3"/>
                <c:pt idx="0">
                  <c:v>Yes, currently</c:v>
                </c:pt>
                <c:pt idx="1">
                  <c:v>Yes, in the past</c:v>
                </c:pt>
                <c:pt idx="2">
                  <c:v>No</c:v>
                </c:pt>
              </c:strCache>
            </c:strRef>
          </c:cat>
          <c:val>
            <c:numRef>
              <c:f>'International Comparison'!$D$8:$D$10</c:f>
              <c:numCache>
                <c:formatCode>0.0%</c:formatCode>
                <c:ptCount val="3"/>
                <c:pt idx="0">
                  <c:v>0.186991869918699</c:v>
                </c:pt>
                <c:pt idx="1">
                  <c:v>0.178861788617886</c:v>
                </c:pt>
                <c:pt idx="2">
                  <c:v>0.634146341463415</c:v>
                </c:pt>
              </c:numCache>
            </c:numRef>
          </c:val>
        </c:ser>
        <c:gapWidth val="150"/>
        <c:overlap val="0"/>
        <c:axId val="20326019"/>
        <c:axId val="45664694"/>
      </c:barChart>
      <c:catAx>
        <c:axId val="203260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64694"/>
        <c:crosses val="autoZero"/>
        <c:auto val="1"/>
        <c:lblAlgn val="ctr"/>
        <c:lblOffset val="100"/>
        <c:noMultiLvlLbl val="0"/>
      </c:catAx>
      <c:valAx>
        <c:axId val="456646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260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130680</xdr:rowOff>
    </xdr:from>
    <xdr:to>
      <xdr:col>13</xdr:col>
      <xdr:colOff>494280</xdr:colOff>
      <xdr:row>17</xdr:row>
      <xdr:rowOff>106200</xdr:rowOff>
    </xdr:to>
    <xdr:graphicFrame>
      <xdr:nvGraphicFramePr>
        <xdr:cNvPr id="0" name="Chart 1"/>
        <xdr:cNvGraphicFramePr/>
      </xdr:nvGraphicFramePr>
      <xdr:xfrm>
        <a:off x="3383280" y="15620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172080</xdr:rowOff>
    </xdr:from>
    <xdr:to>
      <xdr:col>7</xdr:col>
      <xdr:colOff>543960</xdr:colOff>
      <xdr:row>28</xdr:row>
      <xdr:rowOff>3600</xdr:rowOff>
    </xdr:to>
    <xdr:graphicFrame>
      <xdr:nvGraphicFramePr>
        <xdr:cNvPr id="1" name="Chart 1"/>
        <xdr:cNvGraphicFramePr/>
      </xdr:nvGraphicFramePr>
      <xdr:xfrm>
        <a:off x="141120" y="3095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131040</xdr:rowOff>
    </xdr:from>
    <xdr:to>
      <xdr:col>10</xdr:col>
      <xdr:colOff>528840</xdr:colOff>
      <xdr:row>19</xdr:row>
      <xdr:rowOff>163440</xdr:rowOff>
    </xdr:to>
    <xdr:graphicFrame>
      <xdr:nvGraphicFramePr>
        <xdr:cNvPr id="2" name="Chart 1"/>
        <xdr:cNvGraphicFramePr/>
      </xdr:nvGraphicFramePr>
      <xdr:xfrm>
        <a:off x="5216040" y="1305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15</xdr:row>
      <xdr:rowOff>130680</xdr:rowOff>
    </xdr:from>
    <xdr:to>
      <xdr:col>10</xdr:col>
      <xdr:colOff>528840</xdr:colOff>
      <xdr:row>29</xdr:row>
      <xdr:rowOff>163440</xdr:rowOff>
    </xdr:to>
    <xdr:graphicFrame>
      <xdr:nvGraphicFramePr>
        <xdr:cNvPr id="3" name="Chart 2"/>
        <xdr:cNvGraphicFramePr/>
      </xdr:nvGraphicFramePr>
      <xdr:xfrm>
        <a:off x="5216040" y="32097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10</xdr:col>
      <xdr:colOff>528480</xdr:colOff>
      <xdr:row>16</xdr:row>
      <xdr:rowOff>163800</xdr:rowOff>
    </xdr:to>
    <xdr:graphicFrame>
      <xdr:nvGraphicFramePr>
        <xdr:cNvPr id="4" name="Chart 1"/>
        <xdr:cNvGraphicFramePr/>
      </xdr:nvGraphicFramePr>
      <xdr:xfrm>
        <a:off x="479304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11</xdr:row>
      <xdr:rowOff>130680</xdr:rowOff>
    </xdr:from>
    <xdr:to>
      <xdr:col>10</xdr:col>
      <xdr:colOff>528480</xdr:colOff>
      <xdr:row>25</xdr:row>
      <xdr:rowOff>163440</xdr:rowOff>
    </xdr:to>
    <xdr:graphicFrame>
      <xdr:nvGraphicFramePr>
        <xdr:cNvPr id="5" name="Chart 2"/>
        <xdr:cNvGraphicFramePr/>
      </xdr:nvGraphicFramePr>
      <xdr:xfrm>
        <a:off x="4793040" y="2286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18</xdr:row>
      <xdr:rowOff>130680</xdr:rowOff>
    </xdr:from>
    <xdr:to>
      <xdr:col>10</xdr:col>
      <xdr:colOff>528480</xdr:colOff>
      <xdr:row>32</xdr:row>
      <xdr:rowOff>163440</xdr:rowOff>
    </xdr:to>
    <xdr:graphicFrame>
      <xdr:nvGraphicFramePr>
        <xdr:cNvPr id="6" name="Chart 3"/>
        <xdr:cNvGraphicFramePr/>
      </xdr:nvGraphicFramePr>
      <xdr:xfrm>
        <a:off x="4793040" y="3619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24</xdr:row>
      <xdr:rowOff>130680</xdr:rowOff>
    </xdr:from>
    <xdr:to>
      <xdr:col>10</xdr:col>
      <xdr:colOff>528480</xdr:colOff>
      <xdr:row>38</xdr:row>
      <xdr:rowOff>163440</xdr:rowOff>
    </xdr:to>
    <xdr:graphicFrame>
      <xdr:nvGraphicFramePr>
        <xdr:cNvPr id="7" name="Chart 4"/>
        <xdr:cNvGraphicFramePr/>
      </xdr:nvGraphicFramePr>
      <xdr:xfrm>
        <a:off x="4793040" y="4762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10</xdr:col>
      <xdr:colOff>528480</xdr:colOff>
      <xdr:row>16</xdr:row>
      <xdr:rowOff>163800</xdr:rowOff>
    </xdr:to>
    <xdr:graphicFrame>
      <xdr:nvGraphicFramePr>
        <xdr:cNvPr id="8" name="Chart 1"/>
        <xdr:cNvGraphicFramePr/>
      </xdr:nvGraphicFramePr>
      <xdr:xfrm>
        <a:off x="577980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8</xdr:row>
      <xdr:rowOff>131040</xdr:rowOff>
    </xdr:from>
    <xdr:to>
      <xdr:col>10</xdr:col>
      <xdr:colOff>528480</xdr:colOff>
      <xdr:row>22</xdr:row>
      <xdr:rowOff>163800</xdr:rowOff>
    </xdr:to>
    <xdr:graphicFrame>
      <xdr:nvGraphicFramePr>
        <xdr:cNvPr id="9" name="Chart 2"/>
        <xdr:cNvGraphicFramePr/>
      </xdr:nvGraphicFramePr>
      <xdr:xfrm>
        <a:off x="5779800" y="1714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15</xdr:row>
      <xdr:rowOff>131040</xdr:rowOff>
    </xdr:from>
    <xdr:to>
      <xdr:col>10</xdr:col>
      <xdr:colOff>528480</xdr:colOff>
      <xdr:row>29</xdr:row>
      <xdr:rowOff>163440</xdr:rowOff>
    </xdr:to>
    <xdr:graphicFrame>
      <xdr:nvGraphicFramePr>
        <xdr:cNvPr id="10" name="Chart 3"/>
        <xdr:cNvGraphicFramePr/>
      </xdr:nvGraphicFramePr>
      <xdr:xfrm>
        <a:off x="5779800" y="304812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130680</xdr:rowOff>
    </xdr:from>
    <xdr:to>
      <xdr:col>10</xdr:col>
      <xdr:colOff>528480</xdr:colOff>
      <xdr:row>19</xdr:row>
      <xdr:rowOff>163440</xdr:rowOff>
    </xdr:to>
    <xdr:graphicFrame>
      <xdr:nvGraphicFramePr>
        <xdr:cNvPr id="11" name="Chart 1"/>
        <xdr:cNvGraphicFramePr/>
      </xdr:nvGraphicFramePr>
      <xdr:xfrm>
        <a:off x="4370040" y="13809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0" width="20"/>
  </cols>
  <sheetData>
    <row r="1" customFormat="false" ht="45" hidden="false" customHeight="tru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5" t="s">
        <v>42</v>
      </c>
    </row>
    <row r="2" customFormat="false" ht="15" hidden="false" customHeight="false" outlineLevel="0" collapsed="false">
      <c r="A2" s="0" t="s">
        <v>43</v>
      </c>
      <c r="B2" s="0" t="s">
        <v>44</v>
      </c>
      <c r="C2" s="0" t="s">
        <v>45</v>
      </c>
      <c r="D2" s="0" t="s">
        <v>46</v>
      </c>
      <c r="E2" s="0" t="s">
        <v>47</v>
      </c>
      <c r="F2" s="0" t="s">
        <v>48</v>
      </c>
      <c r="G2" s="0" t="s">
        <v>49</v>
      </c>
      <c r="H2" s="0" t="s">
        <v>50</v>
      </c>
      <c r="I2" s="0" t="s">
        <v>51</v>
      </c>
      <c r="J2" s="0" t="s">
        <v>52</v>
      </c>
      <c r="K2" s="0" t="s">
        <v>53</v>
      </c>
      <c r="L2" s="0" t="s">
        <v>54</v>
      </c>
      <c r="M2" s="0" t="s">
        <v>55</v>
      </c>
      <c r="N2" s="0" t="s">
        <v>56</v>
      </c>
      <c r="O2" s="0" t="s">
        <v>55</v>
      </c>
      <c r="P2" s="0" t="s">
        <v>44</v>
      </c>
      <c r="Q2" s="0" t="s">
        <v>57</v>
      </c>
      <c r="R2" s="0" t="n">
        <v>10</v>
      </c>
      <c r="S2" s="0" t="s">
        <v>58</v>
      </c>
      <c r="T2" s="0" t="s">
        <v>59</v>
      </c>
      <c r="U2" s="0" t="s">
        <v>60</v>
      </c>
      <c r="V2" s="0" t="s">
        <v>61</v>
      </c>
      <c r="W2" s="0" t="str">
        <f aca="false">IF(B2&lt;&gt;"Yes","Excluded",IF(R2&gt;=9,"Promoter",IF(R2&gt;=7,"Passive","Detractor")))</f>
        <v>Promoter</v>
      </c>
    </row>
    <row r="3" customFormat="false" ht="15" hidden="false" customHeight="false" outlineLevel="0" collapsed="false">
      <c r="A3" s="0" t="s">
        <v>62</v>
      </c>
      <c r="B3" s="0" t="s">
        <v>44</v>
      </c>
      <c r="C3" s="0" t="s">
        <v>63</v>
      </c>
      <c r="D3" s="0" t="s">
        <v>46</v>
      </c>
      <c r="E3" s="0" t="s">
        <v>64</v>
      </c>
      <c r="F3" s="0" t="s">
        <v>65</v>
      </c>
      <c r="G3" s="0" t="s">
        <v>66</v>
      </c>
      <c r="H3" s="0" t="s">
        <v>67</v>
      </c>
      <c r="I3" s="0" t="s">
        <v>51</v>
      </c>
      <c r="J3" s="0" t="s">
        <v>68</v>
      </c>
      <c r="K3" s="0" t="s">
        <v>69</v>
      </c>
      <c r="L3" s="0" t="s">
        <v>70</v>
      </c>
      <c r="M3" s="0" t="s">
        <v>44</v>
      </c>
      <c r="N3" s="0" t="s">
        <v>71</v>
      </c>
      <c r="O3" s="0" t="s">
        <v>55</v>
      </c>
      <c r="P3" s="0" t="s">
        <v>72</v>
      </c>
      <c r="Q3" s="0" t="s">
        <v>73</v>
      </c>
      <c r="R3" s="0" t="n">
        <v>5</v>
      </c>
      <c r="S3" s="0" t="s">
        <v>74</v>
      </c>
      <c r="T3" s="0" t="s">
        <v>75</v>
      </c>
      <c r="U3" s="0" t="s">
        <v>76</v>
      </c>
      <c r="V3" s="0" t="s">
        <v>77</v>
      </c>
      <c r="W3" s="0" t="str">
        <f aca="false">IF(B3&lt;&gt;"Yes","Excluded",IF(R3&gt;=9,"Promoter",IF(R3&gt;=7,"Passive","Detractor")))</f>
        <v>Detractor</v>
      </c>
    </row>
    <row r="4" customFormat="false" ht="15" hidden="false" customHeight="false" outlineLevel="0" collapsed="false">
      <c r="A4" s="0" t="s">
        <v>78</v>
      </c>
      <c r="B4" s="0" t="s">
        <v>44</v>
      </c>
      <c r="C4" s="0" t="s">
        <v>79</v>
      </c>
      <c r="D4" s="0" t="s">
        <v>46</v>
      </c>
      <c r="E4" s="0" t="s">
        <v>80</v>
      </c>
      <c r="F4" s="0" t="s">
        <v>65</v>
      </c>
      <c r="G4" s="0" t="s">
        <v>81</v>
      </c>
      <c r="H4" s="0" t="s">
        <v>82</v>
      </c>
      <c r="I4" s="0" t="s">
        <v>83</v>
      </c>
      <c r="J4" s="0" t="s">
        <v>52</v>
      </c>
      <c r="K4" s="0" t="s">
        <v>84</v>
      </c>
      <c r="L4" s="0" t="s">
        <v>70</v>
      </c>
      <c r="M4" s="0" t="s">
        <v>55</v>
      </c>
      <c r="N4" s="0" t="s">
        <v>56</v>
      </c>
      <c r="O4" s="0" t="s">
        <v>55</v>
      </c>
      <c r="P4" s="0" t="s">
        <v>44</v>
      </c>
      <c r="Q4" s="0" t="s">
        <v>85</v>
      </c>
      <c r="R4" s="0" t="n">
        <v>8</v>
      </c>
      <c r="S4" s="0" t="s">
        <v>86</v>
      </c>
      <c r="T4" s="0" t="s">
        <v>87</v>
      </c>
      <c r="U4" s="0" t="s">
        <v>55</v>
      </c>
      <c r="V4" s="0" t="s">
        <v>56</v>
      </c>
      <c r="W4" s="0" t="str">
        <f aca="false">IF(B4&lt;&gt;"Yes","Excluded",IF(R4&gt;=9,"Promoter",IF(R4&gt;=7,"Passive","Detractor")))</f>
        <v>Passive</v>
      </c>
    </row>
    <row r="5" customFormat="false" ht="15" hidden="false" customHeight="false" outlineLevel="0" collapsed="false">
      <c r="A5" s="0" t="s">
        <v>88</v>
      </c>
      <c r="B5" s="0" t="s">
        <v>44</v>
      </c>
      <c r="C5" s="0" t="s">
        <v>89</v>
      </c>
      <c r="D5" s="0" t="s">
        <v>90</v>
      </c>
      <c r="E5" s="0" t="s">
        <v>91</v>
      </c>
      <c r="F5" s="0" t="s">
        <v>92</v>
      </c>
      <c r="G5" s="0" t="s">
        <v>93</v>
      </c>
      <c r="H5" s="0" t="s">
        <v>94</v>
      </c>
      <c r="I5" s="0" t="s">
        <v>95</v>
      </c>
      <c r="J5" s="0" t="s">
        <v>96</v>
      </c>
      <c r="K5" s="0" t="s">
        <v>69</v>
      </c>
      <c r="L5" s="0" t="s">
        <v>70</v>
      </c>
      <c r="M5" s="0" t="s">
        <v>55</v>
      </c>
      <c r="N5" s="0" t="s">
        <v>56</v>
      </c>
      <c r="O5" s="0" t="s">
        <v>55</v>
      </c>
      <c r="P5" s="0" t="s">
        <v>72</v>
      </c>
      <c r="Q5" s="0" t="s">
        <v>97</v>
      </c>
      <c r="R5" s="0" t="n">
        <v>9</v>
      </c>
      <c r="S5" s="0" t="s">
        <v>98</v>
      </c>
      <c r="T5" s="0" t="s">
        <v>99</v>
      </c>
      <c r="U5" s="0" t="s">
        <v>55</v>
      </c>
      <c r="V5" s="0" t="s">
        <v>56</v>
      </c>
      <c r="W5" s="0" t="str">
        <f aca="false">IF(B5&lt;&gt;"Yes","Excluded",IF(R5&gt;=9,"Promoter",IF(R5&gt;=7,"Passive","Detractor")))</f>
        <v>Promoter</v>
      </c>
    </row>
    <row r="6" customFormat="false" ht="15" hidden="false" customHeight="false" outlineLevel="0" collapsed="false">
      <c r="A6" s="0" t="s">
        <v>100</v>
      </c>
      <c r="B6" s="0" t="s">
        <v>44</v>
      </c>
      <c r="C6" s="0" t="s">
        <v>45</v>
      </c>
      <c r="D6" s="0" t="s">
        <v>46</v>
      </c>
      <c r="E6" s="0" t="s">
        <v>80</v>
      </c>
      <c r="F6" s="0" t="s">
        <v>65</v>
      </c>
      <c r="G6" s="0" t="s">
        <v>101</v>
      </c>
      <c r="H6" s="0" t="s">
        <v>94</v>
      </c>
      <c r="I6" s="0" t="s">
        <v>102</v>
      </c>
      <c r="J6" s="0" t="s">
        <v>96</v>
      </c>
      <c r="K6" s="0" t="s">
        <v>53</v>
      </c>
      <c r="L6" s="0" t="s">
        <v>103</v>
      </c>
      <c r="M6" s="0" t="s">
        <v>55</v>
      </c>
      <c r="N6" s="0" t="s">
        <v>56</v>
      </c>
      <c r="O6" s="0" t="s">
        <v>55</v>
      </c>
      <c r="P6" s="0" t="s">
        <v>44</v>
      </c>
      <c r="Q6" s="0" t="s">
        <v>104</v>
      </c>
      <c r="R6" s="0" t="n">
        <v>7</v>
      </c>
      <c r="S6" s="0" t="s">
        <v>105</v>
      </c>
      <c r="T6" s="0" t="s">
        <v>106</v>
      </c>
      <c r="U6" s="0" t="s">
        <v>60</v>
      </c>
      <c r="V6" s="0" t="s">
        <v>107</v>
      </c>
      <c r="W6" s="0" t="str">
        <f aca="false">IF(B6&lt;&gt;"Yes","Excluded",IF(R6&gt;=9,"Promoter",IF(R6&gt;=7,"Passive","Detractor")))</f>
        <v>Passive</v>
      </c>
    </row>
    <row r="7" customFormat="false" ht="15" hidden="false" customHeight="false" outlineLevel="0" collapsed="false">
      <c r="A7" s="0" t="s">
        <v>108</v>
      </c>
      <c r="B7" s="0" t="s">
        <v>44</v>
      </c>
      <c r="C7" s="0" t="s">
        <v>45</v>
      </c>
      <c r="D7" s="0" t="s">
        <v>46</v>
      </c>
      <c r="E7" s="0" t="s">
        <v>91</v>
      </c>
      <c r="F7" s="0" t="s">
        <v>65</v>
      </c>
      <c r="G7" s="0" t="s">
        <v>49</v>
      </c>
      <c r="H7" s="0" t="s">
        <v>50</v>
      </c>
      <c r="I7" s="0" t="s">
        <v>51</v>
      </c>
      <c r="J7" s="0" t="s">
        <v>52</v>
      </c>
      <c r="K7" s="0" t="s">
        <v>84</v>
      </c>
      <c r="L7" s="0" t="s">
        <v>103</v>
      </c>
      <c r="M7" s="0" t="s">
        <v>44</v>
      </c>
      <c r="N7" s="0" t="s">
        <v>71</v>
      </c>
      <c r="O7" s="0" t="s">
        <v>55</v>
      </c>
      <c r="P7" s="0" t="s">
        <v>72</v>
      </c>
      <c r="Q7" s="0" t="s">
        <v>109</v>
      </c>
      <c r="R7" s="0" t="n">
        <v>8</v>
      </c>
      <c r="S7" s="0" t="s">
        <v>86</v>
      </c>
      <c r="T7" s="0" t="s">
        <v>110</v>
      </c>
      <c r="U7" s="0" t="s">
        <v>60</v>
      </c>
      <c r="V7" s="0" t="s">
        <v>61</v>
      </c>
      <c r="W7" s="0" t="str">
        <f aca="false">IF(B7&lt;&gt;"Yes","Excluded",IF(R7&gt;=9,"Promoter",IF(R7&gt;=7,"Passive","Detractor")))</f>
        <v>Passive</v>
      </c>
    </row>
    <row r="8" customFormat="false" ht="15" hidden="false" customHeight="false" outlineLevel="0" collapsed="false">
      <c r="A8" s="0" t="s">
        <v>111</v>
      </c>
      <c r="B8" s="0" t="s">
        <v>44</v>
      </c>
      <c r="C8" s="0" t="s">
        <v>45</v>
      </c>
      <c r="D8" s="0" t="s">
        <v>90</v>
      </c>
      <c r="E8" s="0" t="s">
        <v>80</v>
      </c>
      <c r="F8" s="0" t="s">
        <v>112</v>
      </c>
      <c r="G8" s="0" t="s">
        <v>113</v>
      </c>
      <c r="H8" s="0" t="s">
        <v>50</v>
      </c>
      <c r="I8" s="0" t="s">
        <v>51</v>
      </c>
      <c r="J8" s="0" t="s">
        <v>114</v>
      </c>
      <c r="K8" s="0" t="s">
        <v>84</v>
      </c>
      <c r="L8" s="0" t="s">
        <v>70</v>
      </c>
      <c r="M8" s="0" t="s">
        <v>55</v>
      </c>
      <c r="N8" s="0" t="s">
        <v>56</v>
      </c>
      <c r="O8" s="0" t="s">
        <v>55</v>
      </c>
      <c r="P8" s="0" t="s">
        <v>55</v>
      </c>
      <c r="Q8" s="0" t="s">
        <v>115</v>
      </c>
      <c r="R8" s="0" t="n">
        <v>10</v>
      </c>
      <c r="S8" s="0" t="s">
        <v>58</v>
      </c>
      <c r="T8" s="0" t="s">
        <v>106</v>
      </c>
      <c r="U8" s="0" t="s">
        <v>55</v>
      </c>
      <c r="V8" s="0" t="s">
        <v>56</v>
      </c>
      <c r="W8" s="0" t="str">
        <f aca="false">IF(B8&lt;&gt;"Yes","Excluded",IF(R8&gt;=9,"Promoter",IF(R8&gt;=7,"Passive","Detractor")))</f>
        <v>Promoter</v>
      </c>
    </row>
    <row r="9" customFormat="false" ht="15" hidden="false" customHeight="false" outlineLevel="0" collapsed="false">
      <c r="A9" s="0" t="s">
        <v>116</v>
      </c>
      <c r="B9" s="0" t="s">
        <v>44</v>
      </c>
      <c r="C9" s="0" t="s">
        <v>79</v>
      </c>
      <c r="D9" s="0" t="s">
        <v>90</v>
      </c>
      <c r="E9" s="0" t="s">
        <v>80</v>
      </c>
      <c r="F9" s="0" t="s">
        <v>117</v>
      </c>
      <c r="G9" s="0" t="s">
        <v>118</v>
      </c>
      <c r="H9" s="0" t="s">
        <v>82</v>
      </c>
      <c r="I9" s="0" t="s">
        <v>83</v>
      </c>
      <c r="J9" s="0" t="s">
        <v>114</v>
      </c>
      <c r="K9" s="0" t="s">
        <v>84</v>
      </c>
      <c r="L9" s="0" t="s">
        <v>103</v>
      </c>
      <c r="M9" s="0" t="s">
        <v>44</v>
      </c>
      <c r="N9" s="0" t="s">
        <v>119</v>
      </c>
      <c r="O9" s="0" t="s">
        <v>55</v>
      </c>
      <c r="P9" s="0" t="s">
        <v>44</v>
      </c>
      <c r="Q9" s="0" t="s">
        <v>120</v>
      </c>
      <c r="R9" s="0" t="n">
        <v>7</v>
      </c>
      <c r="S9" s="0" t="s">
        <v>121</v>
      </c>
      <c r="T9" s="0" t="s">
        <v>106</v>
      </c>
      <c r="U9" s="0" t="s">
        <v>76</v>
      </c>
      <c r="V9" s="0" t="s">
        <v>77</v>
      </c>
      <c r="W9" s="0" t="str">
        <f aca="false">IF(B9&lt;&gt;"Yes","Excluded",IF(R9&gt;=9,"Promoter",IF(R9&gt;=7,"Passive","Detractor")))</f>
        <v>Passive</v>
      </c>
    </row>
    <row r="10" customFormat="false" ht="15" hidden="false" customHeight="false" outlineLevel="0" collapsed="false">
      <c r="A10" s="0" t="s">
        <v>122</v>
      </c>
      <c r="B10" s="0" t="s">
        <v>44</v>
      </c>
      <c r="C10" s="0" t="s">
        <v>79</v>
      </c>
      <c r="D10" s="0" t="s">
        <v>90</v>
      </c>
      <c r="E10" s="0" t="s">
        <v>80</v>
      </c>
      <c r="F10" s="0" t="s">
        <v>117</v>
      </c>
      <c r="G10" s="0" t="s">
        <v>49</v>
      </c>
      <c r="H10" s="0" t="s">
        <v>67</v>
      </c>
      <c r="I10" s="0" t="s">
        <v>123</v>
      </c>
      <c r="J10" s="0" t="s">
        <v>68</v>
      </c>
      <c r="K10" s="0" t="s">
        <v>69</v>
      </c>
      <c r="L10" s="0" t="s">
        <v>70</v>
      </c>
      <c r="M10" s="0" t="s">
        <v>55</v>
      </c>
      <c r="N10" s="0" t="s">
        <v>56</v>
      </c>
      <c r="O10" s="0" t="s">
        <v>44</v>
      </c>
      <c r="P10" s="0" t="s">
        <v>72</v>
      </c>
      <c r="Q10" s="0" t="s">
        <v>124</v>
      </c>
      <c r="R10" s="0" t="n">
        <v>6</v>
      </c>
      <c r="S10" s="0" t="s">
        <v>125</v>
      </c>
      <c r="T10" s="0" t="s">
        <v>106</v>
      </c>
      <c r="U10" s="0" t="s">
        <v>55</v>
      </c>
      <c r="V10" s="0" t="s">
        <v>56</v>
      </c>
      <c r="W10" s="0" t="str">
        <f aca="false">IF(B10&lt;&gt;"Yes","Excluded",IF(R10&gt;=9,"Promoter",IF(R10&gt;=7,"Passive","Detractor")))</f>
        <v>Detractor</v>
      </c>
    </row>
    <row r="11" customFormat="false" ht="15" hidden="false" customHeight="false" outlineLevel="0" collapsed="false">
      <c r="A11" s="0" t="s">
        <v>126</v>
      </c>
      <c r="B11" s="0" t="s">
        <v>44</v>
      </c>
      <c r="C11" s="0" t="s">
        <v>63</v>
      </c>
      <c r="D11" s="0" t="s">
        <v>46</v>
      </c>
      <c r="E11" s="0" t="s">
        <v>127</v>
      </c>
      <c r="F11" s="0" t="s">
        <v>65</v>
      </c>
      <c r="G11" s="0" t="s">
        <v>128</v>
      </c>
      <c r="H11" s="0" t="s">
        <v>129</v>
      </c>
      <c r="I11" s="0" t="s">
        <v>83</v>
      </c>
      <c r="J11" s="0" t="s">
        <v>68</v>
      </c>
      <c r="K11" s="0" t="s">
        <v>69</v>
      </c>
      <c r="L11" s="0" t="s">
        <v>70</v>
      </c>
      <c r="M11" s="0" t="s">
        <v>55</v>
      </c>
      <c r="N11" s="0" t="s">
        <v>56</v>
      </c>
      <c r="O11" s="0" t="s">
        <v>55</v>
      </c>
      <c r="P11" s="0" t="s">
        <v>44</v>
      </c>
      <c r="Q11" s="0" t="s">
        <v>130</v>
      </c>
      <c r="R11" s="0" t="n">
        <v>8</v>
      </c>
      <c r="S11" s="0" t="s">
        <v>105</v>
      </c>
      <c r="T11" s="0" t="s">
        <v>131</v>
      </c>
      <c r="U11" s="0" t="s">
        <v>76</v>
      </c>
      <c r="V11" s="0" t="s">
        <v>107</v>
      </c>
      <c r="W11" s="0" t="str">
        <f aca="false">IF(B11&lt;&gt;"Yes","Excluded",IF(R11&gt;=9,"Promoter",IF(R11&gt;=7,"Passive","Detractor")))</f>
        <v>Passive</v>
      </c>
    </row>
    <row r="12" customFormat="false" ht="15" hidden="false" customHeight="false" outlineLevel="0" collapsed="false">
      <c r="A12" s="0" t="s">
        <v>132</v>
      </c>
      <c r="B12" s="0" t="s">
        <v>44</v>
      </c>
      <c r="C12" s="0" t="s">
        <v>133</v>
      </c>
      <c r="D12" s="0" t="s">
        <v>102</v>
      </c>
      <c r="E12" s="0" t="s">
        <v>47</v>
      </c>
      <c r="F12" s="0" t="s">
        <v>65</v>
      </c>
      <c r="G12" s="0" t="s">
        <v>93</v>
      </c>
      <c r="H12" s="0" t="s">
        <v>129</v>
      </c>
      <c r="I12" s="0" t="s">
        <v>83</v>
      </c>
      <c r="J12" s="0" t="s">
        <v>96</v>
      </c>
      <c r="K12" s="0" t="s">
        <v>84</v>
      </c>
      <c r="L12" s="0" t="s">
        <v>70</v>
      </c>
      <c r="M12" s="0" t="s">
        <v>44</v>
      </c>
      <c r="N12" s="0" t="s">
        <v>134</v>
      </c>
      <c r="O12" s="0" t="s">
        <v>55</v>
      </c>
      <c r="P12" s="0" t="s">
        <v>44</v>
      </c>
      <c r="Q12" s="0" t="s">
        <v>135</v>
      </c>
      <c r="R12" s="0" t="n">
        <v>5</v>
      </c>
      <c r="S12" s="0" t="s">
        <v>136</v>
      </c>
      <c r="T12" s="0" t="s">
        <v>99</v>
      </c>
      <c r="U12" s="0" t="s">
        <v>55</v>
      </c>
      <c r="V12" s="0" t="s">
        <v>56</v>
      </c>
      <c r="W12" s="0" t="str">
        <f aca="false">IF(B12&lt;&gt;"Yes","Excluded",IF(R12&gt;=9,"Promoter",IF(R12&gt;=7,"Passive","Detractor")))</f>
        <v>Detractor</v>
      </c>
    </row>
    <row r="13" customFormat="false" ht="15" hidden="false" customHeight="false" outlineLevel="0" collapsed="false">
      <c r="A13" s="0" t="s">
        <v>137</v>
      </c>
      <c r="B13" s="0" t="s">
        <v>44</v>
      </c>
      <c r="C13" s="0" t="s">
        <v>133</v>
      </c>
      <c r="D13" s="0" t="s">
        <v>46</v>
      </c>
      <c r="E13" s="0" t="s">
        <v>64</v>
      </c>
      <c r="F13" s="0" t="s">
        <v>65</v>
      </c>
      <c r="G13" s="0" t="s">
        <v>128</v>
      </c>
      <c r="H13" s="0" t="s">
        <v>138</v>
      </c>
      <c r="I13" s="0" t="s">
        <v>83</v>
      </c>
      <c r="J13" s="0" t="s">
        <v>96</v>
      </c>
      <c r="K13" s="0" t="s">
        <v>84</v>
      </c>
      <c r="L13" s="0" t="s">
        <v>103</v>
      </c>
      <c r="M13" s="0" t="s">
        <v>55</v>
      </c>
      <c r="N13" s="0" t="s">
        <v>56</v>
      </c>
      <c r="O13" s="0" t="s">
        <v>55</v>
      </c>
      <c r="P13" s="0" t="s">
        <v>44</v>
      </c>
      <c r="Q13" s="0" t="s">
        <v>85</v>
      </c>
      <c r="R13" s="0" t="n">
        <v>7</v>
      </c>
      <c r="S13" s="0" t="s">
        <v>121</v>
      </c>
      <c r="T13" s="0" t="s">
        <v>87</v>
      </c>
      <c r="U13" s="0" t="s">
        <v>55</v>
      </c>
      <c r="V13" s="0" t="s">
        <v>56</v>
      </c>
      <c r="W13" s="0" t="str">
        <f aca="false">IF(B13&lt;&gt;"Yes","Excluded",IF(R13&gt;=9,"Promoter",IF(R13&gt;=7,"Passive","Detractor")))</f>
        <v>Passive</v>
      </c>
    </row>
    <row r="14" customFormat="false" ht="15" hidden="false" customHeight="false" outlineLevel="0" collapsed="false">
      <c r="A14" s="0" t="s">
        <v>139</v>
      </c>
      <c r="B14" s="0" t="s">
        <v>44</v>
      </c>
      <c r="C14" s="0" t="s">
        <v>79</v>
      </c>
      <c r="D14" s="0" t="s">
        <v>90</v>
      </c>
      <c r="E14" s="0" t="s">
        <v>91</v>
      </c>
      <c r="F14" s="0" t="s">
        <v>65</v>
      </c>
      <c r="G14" s="0" t="s">
        <v>81</v>
      </c>
      <c r="H14" s="0" t="s">
        <v>82</v>
      </c>
      <c r="I14" s="0" t="s">
        <v>51</v>
      </c>
      <c r="J14" s="0" t="s">
        <v>68</v>
      </c>
      <c r="K14" s="0" t="s">
        <v>69</v>
      </c>
      <c r="L14" s="0" t="s">
        <v>103</v>
      </c>
      <c r="M14" s="0" t="s">
        <v>44</v>
      </c>
      <c r="N14" s="0" t="s">
        <v>134</v>
      </c>
      <c r="O14" s="0" t="s">
        <v>55</v>
      </c>
      <c r="P14" s="0" t="s">
        <v>55</v>
      </c>
      <c r="Q14" s="0" t="s">
        <v>85</v>
      </c>
      <c r="R14" s="0" t="n">
        <v>10</v>
      </c>
      <c r="S14" s="0" t="s">
        <v>140</v>
      </c>
      <c r="T14" s="0" t="s">
        <v>141</v>
      </c>
      <c r="U14" s="0" t="s">
        <v>76</v>
      </c>
      <c r="V14" s="0" t="s">
        <v>142</v>
      </c>
      <c r="W14" s="0" t="str">
        <f aca="false">IF(B14&lt;&gt;"Yes","Excluded",IF(R14&gt;=9,"Promoter",IF(R14&gt;=7,"Passive","Detractor")))</f>
        <v>Promoter</v>
      </c>
    </row>
    <row r="15" customFormat="false" ht="15" hidden="false" customHeight="false" outlineLevel="0" collapsed="false">
      <c r="A15" s="0" t="s">
        <v>143</v>
      </c>
      <c r="B15" s="0" t="s">
        <v>44</v>
      </c>
      <c r="C15" s="0" t="s">
        <v>79</v>
      </c>
      <c r="D15" s="0" t="s">
        <v>90</v>
      </c>
      <c r="E15" s="0" t="s">
        <v>64</v>
      </c>
      <c r="F15" s="0" t="s">
        <v>117</v>
      </c>
      <c r="G15" s="0" t="s">
        <v>66</v>
      </c>
      <c r="H15" s="0" t="s">
        <v>82</v>
      </c>
      <c r="I15" s="0" t="s">
        <v>144</v>
      </c>
      <c r="J15" s="0" t="s">
        <v>52</v>
      </c>
      <c r="K15" s="0" t="s">
        <v>53</v>
      </c>
      <c r="L15" s="0" t="s">
        <v>54</v>
      </c>
      <c r="M15" s="0" t="s">
        <v>44</v>
      </c>
      <c r="N15" s="0" t="s">
        <v>119</v>
      </c>
      <c r="O15" s="0" t="s">
        <v>55</v>
      </c>
      <c r="P15" s="0" t="s">
        <v>44</v>
      </c>
      <c r="Q15" s="0" t="s">
        <v>145</v>
      </c>
      <c r="R15" s="0" t="n">
        <v>7</v>
      </c>
      <c r="S15" s="0" t="s">
        <v>86</v>
      </c>
      <c r="T15" s="0" t="s">
        <v>59</v>
      </c>
      <c r="U15" s="0" t="s">
        <v>55</v>
      </c>
      <c r="V15" s="0" t="s">
        <v>56</v>
      </c>
      <c r="W15" s="0" t="str">
        <f aca="false">IF(B15&lt;&gt;"Yes","Excluded",IF(R15&gt;=9,"Promoter",IF(R15&gt;=7,"Passive","Detractor")))</f>
        <v>Passive</v>
      </c>
    </row>
    <row r="16" customFormat="false" ht="15" hidden="false" customHeight="false" outlineLevel="0" collapsed="false">
      <c r="A16" s="0" t="s">
        <v>146</v>
      </c>
      <c r="B16" s="0" t="s">
        <v>44</v>
      </c>
      <c r="C16" s="0" t="s">
        <v>45</v>
      </c>
      <c r="D16" s="0" t="s">
        <v>46</v>
      </c>
      <c r="E16" s="0" t="s">
        <v>127</v>
      </c>
      <c r="F16" s="0" t="s">
        <v>48</v>
      </c>
      <c r="G16" s="0" t="s">
        <v>49</v>
      </c>
      <c r="H16" s="0" t="s">
        <v>94</v>
      </c>
      <c r="I16" s="0" t="s">
        <v>51</v>
      </c>
      <c r="J16" s="0" t="s">
        <v>114</v>
      </c>
      <c r="K16" s="0" t="s">
        <v>53</v>
      </c>
      <c r="L16" s="0" t="s">
        <v>70</v>
      </c>
      <c r="M16" s="0" t="s">
        <v>55</v>
      </c>
      <c r="N16" s="0" t="s">
        <v>56</v>
      </c>
      <c r="O16" s="0" t="s">
        <v>55</v>
      </c>
      <c r="P16" s="0" t="s">
        <v>72</v>
      </c>
      <c r="Q16" s="0" t="s">
        <v>109</v>
      </c>
      <c r="R16" s="0" t="n">
        <v>10</v>
      </c>
      <c r="S16" s="0" t="s">
        <v>58</v>
      </c>
      <c r="T16" s="0" t="s">
        <v>59</v>
      </c>
      <c r="U16" s="0" t="s">
        <v>55</v>
      </c>
      <c r="V16" s="0" t="s">
        <v>56</v>
      </c>
      <c r="W16" s="0" t="str">
        <f aca="false">IF(B16&lt;&gt;"Yes","Excluded",IF(R16&gt;=9,"Promoter",IF(R16&gt;=7,"Passive","Detractor")))</f>
        <v>Promoter</v>
      </c>
    </row>
    <row r="17" customFormat="false" ht="15" hidden="false" customHeight="false" outlineLevel="0" collapsed="false">
      <c r="A17" s="0" t="s">
        <v>147</v>
      </c>
      <c r="B17" s="0" t="s">
        <v>44</v>
      </c>
      <c r="C17" s="0" t="s">
        <v>45</v>
      </c>
      <c r="D17" s="0" t="s">
        <v>90</v>
      </c>
      <c r="E17" s="0" t="s">
        <v>47</v>
      </c>
      <c r="F17" s="0" t="s">
        <v>65</v>
      </c>
      <c r="G17" s="0" t="s">
        <v>49</v>
      </c>
      <c r="H17" s="0" t="s">
        <v>67</v>
      </c>
      <c r="I17" s="0" t="s">
        <v>123</v>
      </c>
      <c r="J17" s="0" t="s">
        <v>52</v>
      </c>
      <c r="K17" s="0" t="s">
        <v>53</v>
      </c>
      <c r="L17" s="0" t="s">
        <v>103</v>
      </c>
      <c r="M17" s="0" t="s">
        <v>55</v>
      </c>
      <c r="N17" s="0" t="s">
        <v>56</v>
      </c>
      <c r="O17" s="0" t="s">
        <v>55</v>
      </c>
      <c r="P17" s="0" t="s">
        <v>44</v>
      </c>
      <c r="Q17" s="0" t="s">
        <v>148</v>
      </c>
      <c r="R17" s="0" t="n">
        <v>7</v>
      </c>
      <c r="S17" s="0" t="s">
        <v>86</v>
      </c>
      <c r="T17" s="0" t="s">
        <v>75</v>
      </c>
      <c r="U17" s="0" t="s">
        <v>60</v>
      </c>
      <c r="V17" s="0" t="s">
        <v>107</v>
      </c>
      <c r="W17" s="0" t="str">
        <f aca="false">IF(B17&lt;&gt;"Yes","Excluded",IF(R17&gt;=9,"Promoter",IF(R17&gt;=7,"Passive","Detractor")))</f>
        <v>Passive</v>
      </c>
    </row>
    <row r="18" customFormat="false" ht="15" hidden="false" customHeight="false" outlineLevel="0" collapsed="false">
      <c r="A18" s="0" t="s">
        <v>149</v>
      </c>
      <c r="B18" s="0" t="s">
        <v>44</v>
      </c>
      <c r="C18" s="0" t="s">
        <v>89</v>
      </c>
      <c r="D18" s="0" t="s">
        <v>46</v>
      </c>
      <c r="E18" s="0" t="s">
        <v>64</v>
      </c>
      <c r="F18" s="0" t="s">
        <v>92</v>
      </c>
      <c r="G18" s="0" t="s">
        <v>66</v>
      </c>
      <c r="H18" s="0" t="s">
        <v>82</v>
      </c>
      <c r="I18" s="0" t="s">
        <v>144</v>
      </c>
      <c r="J18" s="0" t="s">
        <v>114</v>
      </c>
      <c r="K18" s="0" t="s">
        <v>69</v>
      </c>
      <c r="L18" s="0" t="s">
        <v>70</v>
      </c>
      <c r="M18" s="0" t="s">
        <v>44</v>
      </c>
      <c r="N18" s="0" t="s">
        <v>71</v>
      </c>
      <c r="O18" s="0" t="s">
        <v>55</v>
      </c>
      <c r="P18" s="0" t="s">
        <v>72</v>
      </c>
      <c r="Q18" s="0" t="s">
        <v>73</v>
      </c>
      <c r="R18" s="0" t="n">
        <v>9</v>
      </c>
      <c r="S18" s="0" t="s">
        <v>150</v>
      </c>
      <c r="T18" s="0" t="s">
        <v>106</v>
      </c>
      <c r="U18" s="0" t="s">
        <v>55</v>
      </c>
      <c r="V18" s="0" t="s">
        <v>56</v>
      </c>
      <c r="W18" s="0" t="str">
        <f aca="false">IF(B18&lt;&gt;"Yes","Excluded",IF(R18&gt;=9,"Promoter",IF(R18&gt;=7,"Passive","Detractor")))</f>
        <v>Promoter</v>
      </c>
    </row>
    <row r="19" customFormat="false" ht="15" hidden="false" customHeight="false" outlineLevel="0" collapsed="false">
      <c r="A19" s="0" t="s">
        <v>151</v>
      </c>
      <c r="B19" s="0" t="s">
        <v>44</v>
      </c>
      <c r="C19" s="0" t="s">
        <v>133</v>
      </c>
      <c r="D19" s="0" t="s">
        <v>90</v>
      </c>
      <c r="E19" s="0" t="s">
        <v>80</v>
      </c>
      <c r="F19" s="0" t="s">
        <v>117</v>
      </c>
      <c r="G19" s="0" t="s">
        <v>152</v>
      </c>
      <c r="H19" s="0" t="s">
        <v>50</v>
      </c>
      <c r="I19" s="0" t="s">
        <v>51</v>
      </c>
      <c r="J19" s="0" t="s">
        <v>96</v>
      </c>
      <c r="K19" s="0" t="s">
        <v>69</v>
      </c>
      <c r="L19" s="0" t="s">
        <v>54</v>
      </c>
      <c r="M19" s="0" t="s">
        <v>55</v>
      </c>
      <c r="N19" s="0" t="s">
        <v>56</v>
      </c>
      <c r="O19" s="0" t="s">
        <v>55</v>
      </c>
      <c r="P19" s="0" t="s">
        <v>44</v>
      </c>
      <c r="Q19" s="0" t="s">
        <v>153</v>
      </c>
      <c r="R19" s="0" t="n">
        <v>10</v>
      </c>
      <c r="S19" s="0" t="s">
        <v>140</v>
      </c>
      <c r="T19" s="0" t="s">
        <v>131</v>
      </c>
      <c r="U19" s="0" t="s">
        <v>55</v>
      </c>
      <c r="V19" s="0" t="s">
        <v>56</v>
      </c>
      <c r="W19" s="0" t="str">
        <f aca="false">IF(B19&lt;&gt;"Yes","Excluded",IF(R19&gt;=9,"Promoter",IF(R19&gt;=7,"Passive","Detractor")))</f>
        <v>Promoter</v>
      </c>
    </row>
    <row r="20" customFormat="false" ht="15" hidden="false" customHeight="false" outlineLevel="0" collapsed="false">
      <c r="A20" s="0" t="s">
        <v>154</v>
      </c>
      <c r="B20" s="0" t="s">
        <v>44</v>
      </c>
      <c r="C20" s="0" t="s">
        <v>79</v>
      </c>
      <c r="D20" s="0" t="s">
        <v>90</v>
      </c>
      <c r="E20" s="0" t="s">
        <v>80</v>
      </c>
      <c r="F20" s="0" t="s">
        <v>65</v>
      </c>
      <c r="G20" s="0" t="s">
        <v>155</v>
      </c>
      <c r="H20" s="0" t="s">
        <v>94</v>
      </c>
      <c r="I20" s="0" t="s">
        <v>102</v>
      </c>
      <c r="J20" s="0" t="s">
        <v>114</v>
      </c>
      <c r="K20" s="0" t="s">
        <v>53</v>
      </c>
      <c r="L20" s="0" t="s">
        <v>70</v>
      </c>
      <c r="M20" s="0" t="s">
        <v>55</v>
      </c>
      <c r="N20" s="0" t="s">
        <v>56</v>
      </c>
      <c r="O20" s="0" t="s">
        <v>55</v>
      </c>
      <c r="P20" s="0" t="s">
        <v>44</v>
      </c>
      <c r="Q20" s="0" t="s">
        <v>109</v>
      </c>
      <c r="R20" s="0" t="n">
        <v>9</v>
      </c>
      <c r="S20" s="0" t="s">
        <v>98</v>
      </c>
      <c r="T20" s="0" t="s">
        <v>141</v>
      </c>
      <c r="U20" s="0" t="s">
        <v>55</v>
      </c>
      <c r="V20" s="0" t="s">
        <v>56</v>
      </c>
      <c r="W20" s="0" t="str">
        <f aca="false">IF(B20&lt;&gt;"Yes","Excluded",IF(R20&gt;=9,"Promoter",IF(R20&gt;=7,"Passive","Detractor")))</f>
        <v>Promoter</v>
      </c>
    </row>
    <row r="21" customFormat="false" ht="15" hidden="false" customHeight="false" outlineLevel="0" collapsed="false">
      <c r="A21" s="0" t="s">
        <v>156</v>
      </c>
      <c r="B21" s="0" t="s">
        <v>44</v>
      </c>
      <c r="C21" s="0" t="s">
        <v>45</v>
      </c>
      <c r="D21" s="0" t="s">
        <v>46</v>
      </c>
      <c r="E21" s="0" t="s">
        <v>91</v>
      </c>
      <c r="F21" s="0" t="s">
        <v>48</v>
      </c>
      <c r="G21" s="0" t="s">
        <v>157</v>
      </c>
      <c r="H21" s="0" t="s">
        <v>50</v>
      </c>
      <c r="I21" s="0" t="s">
        <v>51</v>
      </c>
      <c r="J21" s="0" t="s">
        <v>52</v>
      </c>
      <c r="K21" s="0" t="s">
        <v>84</v>
      </c>
      <c r="L21" s="0" t="s">
        <v>70</v>
      </c>
      <c r="M21" s="0" t="s">
        <v>55</v>
      </c>
      <c r="N21" s="0" t="s">
        <v>56</v>
      </c>
      <c r="O21" s="0" t="s">
        <v>55</v>
      </c>
      <c r="P21" s="0" t="s">
        <v>72</v>
      </c>
      <c r="Q21" s="0" t="s">
        <v>158</v>
      </c>
      <c r="R21" s="0" t="n">
        <v>8</v>
      </c>
      <c r="S21" s="0" t="s">
        <v>159</v>
      </c>
      <c r="T21" s="0" t="s">
        <v>106</v>
      </c>
      <c r="U21" s="0" t="s">
        <v>55</v>
      </c>
      <c r="V21" s="0" t="s">
        <v>56</v>
      </c>
      <c r="W21" s="0" t="str">
        <f aca="false">IF(B21&lt;&gt;"Yes","Excluded",IF(R21&gt;=9,"Promoter",IF(R21&gt;=7,"Passive","Detractor")))</f>
        <v>Passive</v>
      </c>
    </row>
    <row r="22" customFormat="false" ht="15" hidden="false" customHeight="false" outlineLevel="0" collapsed="false">
      <c r="A22" s="0" t="s">
        <v>160</v>
      </c>
      <c r="B22" s="0" t="s">
        <v>44</v>
      </c>
      <c r="C22" s="0" t="s">
        <v>45</v>
      </c>
      <c r="D22" s="0" t="s">
        <v>90</v>
      </c>
      <c r="E22" s="0" t="s">
        <v>64</v>
      </c>
      <c r="F22" s="0" t="s">
        <v>65</v>
      </c>
      <c r="G22" s="0" t="s">
        <v>161</v>
      </c>
      <c r="H22" s="0" t="s">
        <v>82</v>
      </c>
      <c r="I22" s="0" t="s">
        <v>51</v>
      </c>
      <c r="J22" s="0" t="s">
        <v>52</v>
      </c>
      <c r="K22" s="0" t="s">
        <v>84</v>
      </c>
      <c r="L22" s="0" t="s">
        <v>54</v>
      </c>
      <c r="M22" s="0" t="s">
        <v>55</v>
      </c>
      <c r="N22" s="0" t="s">
        <v>56</v>
      </c>
      <c r="O22" s="0" t="s">
        <v>55</v>
      </c>
      <c r="P22" s="0" t="s">
        <v>55</v>
      </c>
      <c r="Q22" s="0" t="s">
        <v>85</v>
      </c>
      <c r="R22" s="0" t="n">
        <v>7</v>
      </c>
      <c r="S22" s="0" t="s">
        <v>86</v>
      </c>
      <c r="T22" s="0" t="s">
        <v>99</v>
      </c>
      <c r="U22" s="0" t="s">
        <v>55</v>
      </c>
      <c r="V22" s="0" t="s">
        <v>56</v>
      </c>
      <c r="W22" s="0" t="str">
        <f aca="false">IF(B22&lt;&gt;"Yes","Excluded",IF(R22&gt;=9,"Promoter",IF(R22&gt;=7,"Passive","Detractor")))</f>
        <v>Passive</v>
      </c>
    </row>
    <row r="23" customFormat="false" ht="15" hidden="false" customHeight="false" outlineLevel="0" collapsed="false">
      <c r="A23" s="0" t="s">
        <v>162</v>
      </c>
      <c r="B23" s="0" t="s">
        <v>44</v>
      </c>
      <c r="C23" s="0" t="s">
        <v>133</v>
      </c>
      <c r="D23" s="0" t="s">
        <v>46</v>
      </c>
      <c r="E23" s="0" t="s">
        <v>80</v>
      </c>
      <c r="F23" s="0" t="s">
        <v>117</v>
      </c>
      <c r="G23" s="0" t="s">
        <v>66</v>
      </c>
      <c r="H23" s="0" t="s">
        <v>67</v>
      </c>
      <c r="I23" s="0" t="s">
        <v>51</v>
      </c>
      <c r="J23" s="0" t="s">
        <v>96</v>
      </c>
      <c r="K23" s="0" t="s">
        <v>69</v>
      </c>
      <c r="L23" s="0" t="s">
        <v>70</v>
      </c>
      <c r="M23" s="0" t="s">
        <v>55</v>
      </c>
      <c r="N23" s="0" t="s">
        <v>56</v>
      </c>
      <c r="O23" s="0" t="s">
        <v>55</v>
      </c>
      <c r="P23" s="0" t="s">
        <v>44</v>
      </c>
      <c r="Q23" s="0" t="s">
        <v>163</v>
      </c>
      <c r="R23" s="0" t="n">
        <v>5</v>
      </c>
      <c r="S23" s="0" t="s">
        <v>136</v>
      </c>
      <c r="T23" s="0" t="s">
        <v>110</v>
      </c>
      <c r="U23" s="0" t="s">
        <v>55</v>
      </c>
      <c r="V23" s="0" t="s">
        <v>56</v>
      </c>
      <c r="W23" s="0" t="str">
        <f aca="false">IF(B23&lt;&gt;"Yes","Excluded",IF(R23&gt;=9,"Promoter",IF(R23&gt;=7,"Passive","Detractor")))</f>
        <v>Detractor</v>
      </c>
    </row>
    <row r="24" customFormat="false" ht="15" hidden="false" customHeight="false" outlineLevel="0" collapsed="false">
      <c r="A24" s="0" t="s">
        <v>164</v>
      </c>
      <c r="B24" s="0" t="s">
        <v>44</v>
      </c>
      <c r="C24" s="0" t="s">
        <v>45</v>
      </c>
      <c r="D24" s="0" t="s">
        <v>46</v>
      </c>
      <c r="E24" s="0" t="s">
        <v>64</v>
      </c>
      <c r="F24" s="0" t="s">
        <v>48</v>
      </c>
      <c r="G24" s="0" t="s">
        <v>49</v>
      </c>
      <c r="H24" s="0" t="s">
        <v>94</v>
      </c>
      <c r="I24" s="0" t="s">
        <v>95</v>
      </c>
      <c r="J24" s="0" t="s">
        <v>68</v>
      </c>
      <c r="K24" s="0" t="s">
        <v>53</v>
      </c>
      <c r="L24" s="0" t="s">
        <v>70</v>
      </c>
      <c r="M24" s="0" t="s">
        <v>55</v>
      </c>
      <c r="N24" s="0" t="s">
        <v>56</v>
      </c>
      <c r="O24" s="0" t="s">
        <v>55</v>
      </c>
      <c r="P24" s="0" t="s">
        <v>72</v>
      </c>
      <c r="Q24" s="0" t="s">
        <v>165</v>
      </c>
      <c r="R24" s="0" t="n">
        <v>10</v>
      </c>
      <c r="S24" s="0" t="s">
        <v>98</v>
      </c>
      <c r="T24" s="0" t="s">
        <v>131</v>
      </c>
      <c r="U24" s="0" t="s">
        <v>55</v>
      </c>
      <c r="V24" s="0" t="s">
        <v>56</v>
      </c>
      <c r="W24" s="0" t="str">
        <f aca="false">IF(B24&lt;&gt;"Yes","Excluded",IF(R24&gt;=9,"Promoter",IF(R24&gt;=7,"Passive","Detractor")))</f>
        <v>Promoter</v>
      </c>
    </row>
    <row r="25" customFormat="false" ht="15" hidden="false" customHeight="false" outlineLevel="0" collapsed="false">
      <c r="A25" s="0" t="s">
        <v>166</v>
      </c>
      <c r="B25" s="0" t="s">
        <v>44</v>
      </c>
      <c r="C25" s="0" t="s">
        <v>133</v>
      </c>
      <c r="D25" s="0" t="s">
        <v>46</v>
      </c>
      <c r="E25" s="0" t="s">
        <v>80</v>
      </c>
      <c r="F25" s="0" t="s">
        <v>65</v>
      </c>
      <c r="G25" s="0" t="s">
        <v>113</v>
      </c>
      <c r="H25" s="0" t="s">
        <v>67</v>
      </c>
      <c r="I25" s="0" t="s">
        <v>95</v>
      </c>
      <c r="J25" s="0" t="s">
        <v>167</v>
      </c>
      <c r="K25" s="0" t="s">
        <v>53</v>
      </c>
      <c r="L25" s="0" t="s">
        <v>70</v>
      </c>
      <c r="M25" s="0" t="s">
        <v>55</v>
      </c>
      <c r="N25" s="0" t="s">
        <v>56</v>
      </c>
      <c r="O25" s="0" t="s">
        <v>44</v>
      </c>
      <c r="P25" s="0" t="s">
        <v>72</v>
      </c>
      <c r="Q25" s="0" t="s">
        <v>85</v>
      </c>
      <c r="R25" s="0" t="n">
        <v>9</v>
      </c>
      <c r="S25" s="0" t="s">
        <v>150</v>
      </c>
      <c r="T25" s="0" t="s">
        <v>110</v>
      </c>
      <c r="U25" s="0" t="s">
        <v>60</v>
      </c>
      <c r="V25" s="0" t="s">
        <v>142</v>
      </c>
      <c r="W25" s="0" t="str">
        <f aca="false">IF(B25&lt;&gt;"Yes","Excluded",IF(R25&gt;=9,"Promoter",IF(R25&gt;=7,"Passive","Detractor")))</f>
        <v>Promoter</v>
      </c>
    </row>
    <row r="26" customFormat="false" ht="15" hidden="false" customHeight="false" outlineLevel="0" collapsed="false">
      <c r="A26" s="0" t="s">
        <v>168</v>
      </c>
      <c r="B26" s="0" t="s">
        <v>44</v>
      </c>
      <c r="C26" s="0" t="s">
        <v>133</v>
      </c>
      <c r="D26" s="0" t="s">
        <v>169</v>
      </c>
      <c r="E26" s="0" t="s">
        <v>64</v>
      </c>
      <c r="F26" s="0" t="s">
        <v>65</v>
      </c>
      <c r="G26" s="0" t="s">
        <v>170</v>
      </c>
      <c r="H26" s="0" t="s">
        <v>82</v>
      </c>
      <c r="I26" s="0" t="s">
        <v>83</v>
      </c>
      <c r="J26" s="0" t="s">
        <v>167</v>
      </c>
      <c r="K26" s="0" t="s">
        <v>69</v>
      </c>
      <c r="L26" s="0" t="s">
        <v>54</v>
      </c>
      <c r="M26" s="0" t="s">
        <v>44</v>
      </c>
      <c r="N26" s="0" t="s">
        <v>71</v>
      </c>
      <c r="O26" s="0" t="s">
        <v>44</v>
      </c>
      <c r="P26" s="0" t="s">
        <v>44</v>
      </c>
      <c r="Q26" s="0" t="s">
        <v>171</v>
      </c>
      <c r="R26" s="0" t="n">
        <v>6</v>
      </c>
      <c r="S26" s="0" t="s">
        <v>74</v>
      </c>
      <c r="T26" s="0" t="s">
        <v>172</v>
      </c>
      <c r="U26" s="0" t="s">
        <v>60</v>
      </c>
      <c r="V26" s="0" t="s">
        <v>142</v>
      </c>
      <c r="W26" s="0" t="str">
        <f aca="false">IF(B26&lt;&gt;"Yes","Excluded",IF(R26&gt;=9,"Promoter",IF(R26&gt;=7,"Passive","Detractor")))</f>
        <v>Detractor</v>
      </c>
    </row>
    <row r="27" customFormat="false" ht="15" hidden="false" customHeight="false" outlineLevel="0" collapsed="false">
      <c r="A27" s="0" t="s">
        <v>173</v>
      </c>
      <c r="B27" s="0" t="s">
        <v>44</v>
      </c>
      <c r="C27" s="0" t="s">
        <v>89</v>
      </c>
      <c r="D27" s="0" t="s">
        <v>90</v>
      </c>
      <c r="E27" s="0" t="s">
        <v>127</v>
      </c>
      <c r="F27" s="0" t="s">
        <v>92</v>
      </c>
      <c r="G27" s="0" t="s">
        <v>174</v>
      </c>
      <c r="H27" s="0" t="s">
        <v>67</v>
      </c>
      <c r="I27" s="0" t="s">
        <v>83</v>
      </c>
      <c r="J27" s="0" t="s">
        <v>96</v>
      </c>
      <c r="K27" s="0" t="s">
        <v>69</v>
      </c>
      <c r="L27" s="0" t="s">
        <v>70</v>
      </c>
      <c r="M27" s="0" t="s">
        <v>44</v>
      </c>
      <c r="N27" s="0" t="s">
        <v>175</v>
      </c>
      <c r="O27" s="0" t="s">
        <v>44</v>
      </c>
      <c r="P27" s="0" t="s">
        <v>72</v>
      </c>
      <c r="Q27" s="0" t="s">
        <v>85</v>
      </c>
      <c r="R27" s="0" t="n">
        <v>4</v>
      </c>
      <c r="S27" s="0" t="s">
        <v>176</v>
      </c>
      <c r="T27" s="0" t="s">
        <v>106</v>
      </c>
      <c r="U27" s="0" t="s">
        <v>55</v>
      </c>
      <c r="V27" s="0" t="s">
        <v>56</v>
      </c>
      <c r="W27" s="0" t="str">
        <f aca="false">IF(B27&lt;&gt;"Yes","Excluded",IF(R27&gt;=9,"Promoter",IF(R27&gt;=7,"Passive","Detractor")))</f>
        <v>Detractor</v>
      </c>
    </row>
    <row r="28" customFormat="false" ht="15" hidden="false" customHeight="false" outlineLevel="0" collapsed="false">
      <c r="A28" s="0" t="s">
        <v>177</v>
      </c>
      <c r="B28" s="0" t="s">
        <v>44</v>
      </c>
      <c r="C28" s="0" t="s">
        <v>79</v>
      </c>
      <c r="D28" s="0" t="s">
        <v>90</v>
      </c>
      <c r="E28" s="0" t="s">
        <v>127</v>
      </c>
      <c r="F28" s="0" t="s">
        <v>112</v>
      </c>
      <c r="G28" s="0" t="s">
        <v>66</v>
      </c>
      <c r="H28" s="0" t="s">
        <v>94</v>
      </c>
      <c r="I28" s="0" t="s">
        <v>51</v>
      </c>
      <c r="J28" s="0" t="s">
        <v>114</v>
      </c>
      <c r="K28" s="0" t="s">
        <v>53</v>
      </c>
      <c r="L28" s="0" t="s">
        <v>54</v>
      </c>
      <c r="M28" s="0" t="s">
        <v>44</v>
      </c>
      <c r="N28" s="0" t="s">
        <v>71</v>
      </c>
      <c r="O28" s="0" t="s">
        <v>55</v>
      </c>
      <c r="P28" s="0" t="s">
        <v>44</v>
      </c>
      <c r="Q28" s="0" t="s">
        <v>73</v>
      </c>
      <c r="R28" s="0" t="n">
        <v>10</v>
      </c>
      <c r="S28" s="0" t="s">
        <v>150</v>
      </c>
      <c r="T28" s="0" t="s">
        <v>87</v>
      </c>
      <c r="U28" s="0" t="s">
        <v>55</v>
      </c>
      <c r="V28" s="0" t="s">
        <v>56</v>
      </c>
      <c r="W28" s="0" t="str">
        <f aca="false">IF(B28&lt;&gt;"Yes","Excluded",IF(R28&gt;=9,"Promoter",IF(R28&gt;=7,"Passive","Detractor")))</f>
        <v>Promoter</v>
      </c>
    </row>
    <row r="29" customFormat="false" ht="15" hidden="false" customHeight="false" outlineLevel="0" collapsed="false">
      <c r="A29" s="0" t="s">
        <v>178</v>
      </c>
      <c r="B29" s="0" t="s">
        <v>44</v>
      </c>
      <c r="C29" s="0" t="s">
        <v>79</v>
      </c>
      <c r="D29" s="0" t="s">
        <v>46</v>
      </c>
      <c r="E29" s="0" t="s">
        <v>80</v>
      </c>
      <c r="F29" s="0" t="s">
        <v>65</v>
      </c>
      <c r="G29" s="0" t="s">
        <v>179</v>
      </c>
      <c r="H29" s="0" t="s">
        <v>129</v>
      </c>
      <c r="I29" s="0" t="s">
        <v>123</v>
      </c>
      <c r="J29" s="0" t="s">
        <v>52</v>
      </c>
      <c r="K29" s="0" t="s">
        <v>53</v>
      </c>
      <c r="L29" s="0" t="s">
        <v>103</v>
      </c>
      <c r="M29" s="0" t="s">
        <v>44</v>
      </c>
      <c r="N29" s="0" t="s">
        <v>134</v>
      </c>
      <c r="O29" s="0" t="s">
        <v>55</v>
      </c>
      <c r="P29" s="0" t="s">
        <v>72</v>
      </c>
      <c r="Q29" s="0" t="s">
        <v>148</v>
      </c>
      <c r="R29" s="0" t="n">
        <v>8</v>
      </c>
      <c r="S29" s="0" t="s">
        <v>121</v>
      </c>
      <c r="T29" s="0" t="s">
        <v>59</v>
      </c>
      <c r="U29" s="0" t="s">
        <v>60</v>
      </c>
      <c r="V29" s="0" t="s">
        <v>107</v>
      </c>
      <c r="W29" s="0" t="str">
        <f aca="false">IF(B29&lt;&gt;"Yes","Excluded",IF(R29&gt;=9,"Promoter",IF(R29&gt;=7,"Passive","Detractor")))</f>
        <v>Passive</v>
      </c>
    </row>
    <row r="30" customFormat="false" ht="15" hidden="false" customHeight="false" outlineLevel="0" collapsed="false">
      <c r="A30" s="0" t="s">
        <v>180</v>
      </c>
      <c r="B30" s="0" t="s">
        <v>44</v>
      </c>
      <c r="C30" s="0" t="s">
        <v>45</v>
      </c>
      <c r="D30" s="0" t="s">
        <v>46</v>
      </c>
      <c r="E30" s="0" t="s">
        <v>80</v>
      </c>
      <c r="F30" s="0" t="s">
        <v>48</v>
      </c>
      <c r="G30" s="0" t="s">
        <v>113</v>
      </c>
      <c r="H30" s="0" t="s">
        <v>82</v>
      </c>
      <c r="I30" s="0" t="s">
        <v>51</v>
      </c>
      <c r="J30" s="0" t="s">
        <v>68</v>
      </c>
      <c r="K30" s="0" t="s">
        <v>53</v>
      </c>
      <c r="L30" s="0" t="s">
        <v>103</v>
      </c>
      <c r="M30" s="0" t="s">
        <v>55</v>
      </c>
      <c r="N30" s="0" t="s">
        <v>56</v>
      </c>
      <c r="O30" s="0" t="s">
        <v>44</v>
      </c>
      <c r="P30" s="0" t="s">
        <v>55</v>
      </c>
      <c r="Q30" s="0" t="s">
        <v>181</v>
      </c>
      <c r="R30" s="0" t="n">
        <v>8</v>
      </c>
      <c r="S30" s="0" t="s">
        <v>105</v>
      </c>
      <c r="T30" s="0" t="s">
        <v>182</v>
      </c>
      <c r="U30" s="0" t="s">
        <v>55</v>
      </c>
      <c r="V30" s="0" t="s">
        <v>56</v>
      </c>
      <c r="W30" s="0" t="str">
        <f aca="false">IF(B30&lt;&gt;"Yes","Excluded",IF(R30&gt;=9,"Promoter",IF(R30&gt;=7,"Passive","Detractor")))</f>
        <v>Passive</v>
      </c>
    </row>
    <row r="31" customFormat="false" ht="15" hidden="false" customHeight="false" outlineLevel="0" collapsed="false">
      <c r="A31" s="0" t="s">
        <v>183</v>
      </c>
      <c r="B31" s="0" t="s">
        <v>44</v>
      </c>
      <c r="C31" s="0" t="s">
        <v>79</v>
      </c>
      <c r="D31" s="0" t="s">
        <v>90</v>
      </c>
      <c r="E31" s="0" t="s">
        <v>91</v>
      </c>
      <c r="F31" s="0" t="s">
        <v>65</v>
      </c>
      <c r="G31" s="0" t="s">
        <v>184</v>
      </c>
      <c r="H31" s="0" t="s">
        <v>82</v>
      </c>
      <c r="I31" s="0" t="s">
        <v>51</v>
      </c>
      <c r="J31" s="0" t="s">
        <v>52</v>
      </c>
      <c r="K31" s="0" t="s">
        <v>53</v>
      </c>
      <c r="L31" s="0" t="s">
        <v>70</v>
      </c>
      <c r="M31" s="0" t="s">
        <v>44</v>
      </c>
      <c r="N31" s="0" t="s">
        <v>71</v>
      </c>
      <c r="O31" s="0" t="s">
        <v>55</v>
      </c>
      <c r="P31" s="0" t="s">
        <v>72</v>
      </c>
      <c r="Q31" s="0" t="s">
        <v>73</v>
      </c>
      <c r="R31" s="0" t="n">
        <v>5</v>
      </c>
      <c r="S31" s="0" t="s">
        <v>185</v>
      </c>
      <c r="T31" s="0" t="s">
        <v>131</v>
      </c>
      <c r="U31" s="0" t="s">
        <v>55</v>
      </c>
      <c r="V31" s="0" t="s">
        <v>56</v>
      </c>
      <c r="W31" s="0" t="str">
        <f aca="false">IF(B31&lt;&gt;"Yes","Excluded",IF(R31&gt;=9,"Promoter",IF(R31&gt;=7,"Passive","Detractor")))</f>
        <v>Detractor</v>
      </c>
    </row>
    <row r="32" customFormat="false" ht="15" hidden="false" customHeight="false" outlineLevel="0" collapsed="false">
      <c r="A32" s="0" t="s">
        <v>186</v>
      </c>
      <c r="B32" s="0" t="s">
        <v>44</v>
      </c>
      <c r="C32" s="0" t="s">
        <v>79</v>
      </c>
      <c r="D32" s="0" t="s">
        <v>46</v>
      </c>
      <c r="E32" s="0" t="s">
        <v>127</v>
      </c>
      <c r="F32" s="0" t="s">
        <v>65</v>
      </c>
      <c r="G32" s="0" t="s">
        <v>187</v>
      </c>
      <c r="H32" s="0" t="s">
        <v>82</v>
      </c>
      <c r="I32" s="0" t="s">
        <v>51</v>
      </c>
      <c r="J32" s="0" t="s">
        <v>68</v>
      </c>
      <c r="K32" s="0" t="s">
        <v>53</v>
      </c>
      <c r="L32" s="0" t="s">
        <v>70</v>
      </c>
      <c r="M32" s="0" t="s">
        <v>55</v>
      </c>
      <c r="N32" s="0" t="s">
        <v>56</v>
      </c>
      <c r="O32" s="0" t="s">
        <v>44</v>
      </c>
      <c r="P32" s="0" t="s">
        <v>72</v>
      </c>
      <c r="Q32" s="0" t="s">
        <v>188</v>
      </c>
      <c r="R32" s="0" t="n">
        <v>5</v>
      </c>
      <c r="S32" s="0" t="s">
        <v>74</v>
      </c>
      <c r="T32" s="0" t="s">
        <v>99</v>
      </c>
      <c r="U32" s="0" t="s">
        <v>55</v>
      </c>
      <c r="V32" s="0" t="s">
        <v>56</v>
      </c>
      <c r="W32" s="0" t="str">
        <f aca="false">IF(B32&lt;&gt;"Yes","Excluded",IF(R32&gt;=9,"Promoter",IF(R32&gt;=7,"Passive","Detractor")))</f>
        <v>Detractor</v>
      </c>
    </row>
    <row r="33" customFormat="false" ht="15" hidden="false" customHeight="false" outlineLevel="0" collapsed="false">
      <c r="A33" s="0" t="s">
        <v>189</v>
      </c>
      <c r="B33" s="0" t="s">
        <v>44</v>
      </c>
      <c r="C33" s="0" t="s">
        <v>79</v>
      </c>
      <c r="D33" s="0" t="s">
        <v>90</v>
      </c>
      <c r="E33" s="0" t="s">
        <v>80</v>
      </c>
      <c r="F33" s="0" t="s">
        <v>112</v>
      </c>
      <c r="G33" s="0" t="s">
        <v>81</v>
      </c>
      <c r="H33" s="0" t="s">
        <v>94</v>
      </c>
      <c r="I33" s="0" t="s">
        <v>144</v>
      </c>
      <c r="J33" s="0" t="s">
        <v>96</v>
      </c>
      <c r="K33" s="0" t="s">
        <v>84</v>
      </c>
      <c r="L33" s="0" t="s">
        <v>70</v>
      </c>
      <c r="M33" s="0" t="s">
        <v>55</v>
      </c>
      <c r="N33" s="0" t="s">
        <v>56</v>
      </c>
      <c r="O33" s="0" t="s">
        <v>55</v>
      </c>
      <c r="P33" s="0" t="s">
        <v>44</v>
      </c>
      <c r="Q33" s="0" t="s">
        <v>73</v>
      </c>
      <c r="R33" s="0" t="n">
        <v>9</v>
      </c>
      <c r="S33" s="0" t="s">
        <v>150</v>
      </c>
      <c r="T33" s="0" t="s">
        <v>182</v>
      </c>
      <c r="U33" s="0" t="s">
        <v>55</v>
      </c>
      <c r="V33" s="0" t="s">
        <v>56</v>
      </c>
      <c r="W33" s="0" t="str">
        <f aca="false">IF(B33&lt;&gt;"Yes","Excluded",IF(R33&gt;=9,"Promoter",IF(R33&gt;=7,"Passive","Detractor")))</f>
        <v>Promoter</v>
      </c>
    </row>
    <row r="34" customFormat="false" ht="15" hidden="false" customHeight="false" outlineLevel="0" collapsed="false">
      <c r="A34" s="0" t="s">
        <v>190</v>
      </c>
      <c r="B34" s="0" t="s">
        <v>44</v>
      </c>
      <c r="C34" s="0" t="s">
        <v>45</v>
      </c>
      <c r="D34" s="0" t="s">
        <v>90</v>
      </c>
      <c r="E34" s="0" t="s">
        <v>80</v>
      </c>
      <c r="F34" s="0" t="s">
        <v>48</v>
      </c>
      <c r="G34" s="0" t="s">
        <v>49</v>
      </c>
      <c r="H34" s="0" t="s">
        <v>67</v>
      </c>
      <c r="I34" s="0" t="s">
        <v>144</v>
      </c>
      <c r="J34" s="0" t="s">
        <v>114</v>
      </c>
      <c r="K34" s="0" t="s">
        <v>53</v>
      </c>
      <c r="L34" s="0" t="s">
        <v>103</v>
      </c>
      <c r="M34" s="0" t="s">
        <v>44</v>
      </c>
      <c r="N34" s="0" t="s">
        <v>119</v>
      </c>
      <c r="O34" s="0" t="s">
        <v>44</v>
      </c>
      <c r="P34" s="0" t="s">
        <v>55</v>
      </c>
      <c r="Q34" s="0" t="s">
        <v>191</v>
      </c>
      <c r="R34" s="0" t="n">
        <v>7</v>
      </c>
      <c r="S34" s="0" t="s">
        <v>121</v>
      </c>
      <c r="T34" s="0" t="s">
        <v>59</v>
      </c>
      <c r="U34" s="0" t="s">
        <v>55</v>
      </c>
      <c r="V34" s="0" t="s">
        <v>56</v>
      </c>
      <c r="W34" s="0" t="str">
        <f aca="false">IF(B34&lt;&gt;"Yes","Excluded",IF(R34&gt;=9,"Promoter",IF(R34&gt;=7,"Passive","Detractor")))</f>
        <v>Passive</v>
      </c>
    </row>
    <row r="35" customFormat="false" ht="15" hidden="false" customHeight="false" outlineLevel="0" collapsed="false">
      <c r="A35" s="0" t="s">
        <v>192</v>
      </c>
      <c r="B35" s="0" t="s">
        <v>44</v>
      </c>
      <c r="C35" s="0" t="s">
        <v>133</v>
      </c>
      <c r="D35" s="0" t="s">
        <v>46</v>
      </c>
      <c r="E35" s="0" t="s">
        <v>80</v>
      </c>
      <c r="F35" s="0" t="s">
        <v>65</v>
      </c>
      <c r="G35" s="0" t="s">
        <v>101</v>
      </c>
      <c r="H35" s="0" t="s">
        <v>129</v>
      </c>
      <c r="I35" s="0" t="s">
        <v>83</v>
      </c>
      <c r="J35" s="0" t="s">
        <v>96</v>
      </c>
      <c r="K35" s="0" t="s">
        <v>84</v>
      </c>
      <c r="L35" s="0" t="s">
        <v>70</v>
      </c>
      <c r="M35" s="0" t="s">
        <v>55</v>
      </c>
      <c r="N35" s="0" t="s">
        <v>56</v>
      </c>
      <c r="O35" s="0" t="s">
        <v>55</v>
      </c>
      <c r="P35" s="0" t="s">
        <v>72</v>
      </c>
      <c r="Q35" s="0" t="s">
        <v>193</v>
      </c>
      <c r="R35" s="0" t="n">
        <v>7</v>
      </c>
      <c r="S35" s="0" t="s">
        <v>105</v>
      </c>
      <c r="T35" s="0" t="s">
        <v>172</v>
      </c>
      <c r="U35" s="0" t="s">
        <v>60</v>
      </c>
      <c r="V35" s="0" t="s">
        <v>61</v>
      </c>
      <c r="W35" s="0" t="str">
        <f aca="false">IF(B35&lt;&gt;"Yes","Excluded",IF(R35&gt;=9,"Promoter",IF(R35&gt;=7,"Passive","Detractor")))</f>
        <v>Passive</v>
      </c>
    </row>
    <row r="36" customFormat="false" ht="15" hidden="false" customHeight="false" outlineLevel="0" collapsed="false">
      <c r="A36" s="0" t="s">
        <v>194</v>
      </c>
      <c r="B36" s="0" t="s">
        <v>44</v>
      </c>
      <c r="C36" s="0" t="s">
        <v>79</v>
      </c>
      <c r="D36" s="0" t="s">
        <v>90</v>
      </c>
      <c r="E36" s="0" t="s">
        <v>47</v>
      </c>
      <c r="F36" s="0" t="s">
        <v>65</v>
      </c>
      <c r="G36" s="0" t="s">
        <v>195</v>
      </c>
      <c r="H36" s="0" t="s">
        <v>50</v>
      </c>
      <c r="I36" s="0" t="s">
        <v>144</v>
      </c>
      <c r="J36" s="0" t="s">
        <v>96</v>
      </c>
      <c r="K36" s="0" t="s">
        <v>53</v>
      </c>
      <c r="L36" s="0" t="s">
        <v>70</v>
      </c>
      <c r="M36" s="0" t="s">
        <v>55</v>
      </c>
      <c r="N36" s="0" t="s">
        <v>56</v>
      </c>
      <c r="O36" s="0" t="s">
        <v>55</v>
      </c>
      <c r="P36" s="0" t="s">
        <v>44</v>
      </c>
      <c r="Q36" s="0" t="s">
        <v>109</v>
      </c>
      <c r="R36" s="0" t="n">
        <v>9</v>
      </c>
      <c r="S36" s="0" t="s">
        <v>58</v>
      </c>
      <c r="T36" s="0" t="s">
        <v>110</v>
      </c>
      <c r="U36" s="0" t="s">
        <v>55</v>
      </c>
      <c r="V36" s="0" t="s">
        <v>56</v>
      </c>
      <c r="W36" s="0" t="str">
        <f aca="false">IF(B36&lt;&gt;"Yes","Excluded",IF(R36&gt;=9,"Promoter",IF(R36&gt;=7,"Passive","Detractor")))</f>
        <v>Promoter</v>
      </c>
    </row>
    <row r="37" customFormat="false" ht="15" hidden="false" customHeight="false" outlineLevel="0" collapsed="false">
      <c r="A37" s="0" t="s">
        <v>196</v>
      </c>
      <c r="B37" s="0" t="s">
        <v>44</v>
      </c>
      <c r="C37" s="0" t="s">
        <v>45</v>
      </c>
      <c r="D37" s="0" t="s">
        <v>46</v>
      </c>
      <c r="E37" s="0" t="s">
        <v>80</v>
      </c>
      <c r="F37" s="0" t="s">
        <v>48</v>
      </c>
      <c r="G37" s="0" t="s">
        <v>197</v>
      </c>
      <c r="H37" s="0" t="s">
        <v>94</v>
      </c>
      <c r="I37" s="0" t="s">
        <v>51</v>
      </c>
      <c r="J37" s="0" t="s">
        <v>114</v>
      </c>
      <c r="K37" s="0" t="s">
        <v>84</v>
      </c>
      <c r="L37" s="0" t="s">
        <v>103</v>
      </c>
      <c r="M37" s="0" t="s">
        <v>55</v>
      </c>
      <c r="N37" s="0" t="s">
        <v>56</v>
      </c>
      <c r="O37" s="0" t="s">
        <v>55</v>
      </c>
      <c r="P37" s="0" t="s">
        <v>55</v>
      </c>
      <c r="Q37" s="0" t="s">
        <v>130</v>
      </c>
      <c r="R37" s="0" t="n">
        <v>10</v>
      </c>
      <c r="S37" s="0" t="s">
        <v>150</v>
      </c>
      <c r="T37" s="0" t="s">
        <v>59</v>
      </c>
      <c r="U37" s="0" t="s">
        <v>55</v>
      </c>
      <c r="V37" s="0" t="s">
        <v>56</v>
      </c>
      <c r="W37" s="0" t="str">
        <f aca="false">IF(B37&lt;&gt;"Yes","Excluded",IF(R37&gt;=9,"Promoter",IF(R37&gt;=7,"Passive","Detractor")))</f>
        <v>Promoter</v>
      </c>
    </row>
    <row r="38" customFormat="false" ht="15" hidden="false" customHeight="false" outlineLevel="0" collapsed="false">
      <c r="A38" s="0" t="s">
        <v>198</v>
      </c>
      <c r="B38" s="0" t="s">
        <v>44</v>
      </c>
      <c r="C38" s="0" t="s">
        <v>63</v>
      </c>
      <c r="D38" s="0" t="s">
        <v>46</v>
      </c>
      <c r="E38" s="0" t="s">
        <v>80</v>
      </c>
      <c r="F38" s="0" t="s">
        <v>65</v>
      </c>
      <c r="G38" s="0" t="s">
        <v>179</v>
      </c>
      <c r="H38" s="0" t="s">
        <v>67</v>
      </c>
      <c r="I38" s="0" t="s">
        <v>95</v>
      </c>
      <c r="J38" s="0" t="s">
        <v>68</v>
      </c>
      <c r="K38" s="0" t="s">
        <v>84</v>
      </c>
      <c r="L38" s="0" t="s">
        <v>103</v>
      </c>
      <c r="M38" s="0" t="s">
        <v>44</v>
      </c>
      <c r="N38" s="0" t="s">
        <v>71</v>
      </c>
      <c r="O38" s="0" t="s">
        <v>55</v>
      </c>
      <c r="P38" s="0" t="s">
        <v>44</v>
      </c>
      <c r="Q38" s="0" t="s">
        <v>73</v>
      </c>
      <c r="R38" s="0" t="n">
        <v>7</v>
      </c>
      <c r="S38" s="0" t="s">
        <v>121</v>
      </c>
      <c r="T38" s="0" t="s">
        <v>110</v>
      </c>
      <c r="U38" s="0" t="s">
        <v>55</v>
      </c>
      <c r="V38" s="0" t="s">
        <v>56</v>
      </c>
      <c r="W38" s="0" t="str">
        <f aca="false">IF(B38&lt;&gt;"Yes","Excluded",IF(R38&gt;=9,"Promoter",IF(R38&gt;=7,"Passive","Detractor")))</f>
        <v>Passive</v>
      </c>
    </row>
    <row r="39" customFormat="false" ht="15" hidden="false" customHeight="false" outlineLevel="0" collapsed="false">
      <c r="A39" s="0" t="s">
        <v>199</v>
      </c>
      <c r="B39" s="0" t="s">
        <v>44</v>
      </c>
      <c r="C39" s="0" t="s">
        <v>45</v>
      </c>
      <c r="D39" s="0" t="s">
        <v>90</v>
      </c>
      <c r="E39" s="0" t="s">
        <v>64</v>
      </c>
      <c r="F39" s="0" t="s">
        <v>112</v>
      </c>
      <c r="G39" s="0" t="s">
        <v>200</v>
      </c>
      <c r="H39" s="0" t="s">
        <v>94</v>
      </c>
      <c r="I39" s="0" t="s">
        <v>95</v>
      </c>
      <c r="J39" s="0" t="s">
        <v>52</v>
      </c>
      <c r="K39" s="0" t="s">
        <v>84</v>
      </c>
      <c r="L39" s="0" t="s">
        <v>54</v>
      </c>
      <c r="M39" s="0" t="s">
        <v>55</v>
      </c>
      <c r="N39" s="0" t="s">
        <v>56</v>
      </c>
      <c r="O39" s="0" t="s">
        <v>55</v>
      </c>
      <c r="P39" s="0" t="s">
        <v>44</v>
      </c>
      <c r="Q39" s="0" t="s">
        <v>201</v>
      </c>
      <c r="R39" s="0" t="n">
        <v>5</v>
      </c>
      <c r="S39" s="0" t="s">
        <v>74</v>
      </c>
      <c r="T39" s="0" t="s">
        <v>131</v>
      </c>
      <c r="U39" s="0" t="s">
        <v>55</v>
      </c>
      <c r="V39" s="0" t="s">
        <v>56</v>
      </c>
      <c r="W39" s="0" t="str">
        <f aca="false">IF(B39&lt;&gt;"Yes","Excluded",IF(R39&gt;=9,"Promoter",IF(R39&gt;=7,"Passive","Detractor")))</f>
        <v>Detractor</v>
      </c>
    </row>
    <row r="40" customFormat="false" ht="15" hidden="false" customHeight="false" outlineLevel="0" collapsed="false">
      <c r="A40" s="0" t="s">
        <v>202</v>
      </c>
      <c r="B40" s="0" t="s">
        <v>44</v>
      </c>
      <c r="C40" s="0" t="s">
        <v>133</v>
      </c>
      <c r="D40" s="0" t="s">
        <v>90</v>
      </c>
      <c r="E40" s="0" t="s">
        <v>91</v>
      </c>
      <c r="F40" s="0" t="s">
        <v>112</v>
      </c>
      <c r="G40" s="0" t="s">
        <v>203</v>
      </c>
      <c r="H40" s="0" t="s">
        <v>50</v>
      </c>
      <c r="I40" s="0" t="s">
        <v>83</v>
      </c>
      <c r="J40" s="0" t="s">
        <v>68</v>
      </c>
      <c r="K40" s="0" t="s">
        <v>53</v>
      </c>
      <c r="L40" s="0" t="s">
        <v>103</v>
      </c>
      <c r="M40" s="0" t="s">
        <v>44</v>
      </c>
      <c r="N40" s="0" t="s">
        <v>175</v>
      </c>
      <c r="O40" s="0" t="s">
        <v>44</v>
      </c>
      <c r="P40" s="0" t="s">
        <v>72</v>
      </c>
      <c r="Q40" s="0" t="s">
        <v>204</v>
      </c>
      <c r="R40" s="0" t="n">
        <v>4</v>
      </c>
      <c r="S40" s="0" t="s">
        <v>176</v>
      </c>
      <c r="T40" s="0" t="s">
        <v>59</v>
      </c>
      <c r="U40" s="0" t="s">
        <v>60</v>
      </c>
      <c r="V40" s="0" t="s">
        <v>142</v>
      </c>
      <c r="W40" s="0" t="str">
        <f aca="false">IF(B40&lt;&gt;"Yes","Excluded",IF(R40&gt;=9,"Promoter",IF(R40&gt;=7,"Passive","Detractor")))</f>
        <v>Detractor</v>
      </c>
    </row>
    <row r="41" customFormat="false" ht="15" hidden="false" customHeight="false" outlineLevel="0" collapsed="false">
      <c r="A41" s="0" t="s">
        <v>205</v>
      </c>
      <c r="B41" s="0" t="s">
        <v>44</v>
      </c>
      <c r="C41" s="0" t="s">
        <v>133</v>
      </c>
      <c r="D41" s="0" t="s">
        <v>46</v>
      </c>
      <c r="E41" s="0" t="s">
        <v>91</v>
      </c>
      <c r="F41" s="0" t="s">
        <v>117</v>
      </c>
      <c r="G41" s="0" t="s">
        <v>206</v>
      </c>
      <c r="H41" s="0" t="s">
        <v>67</v>
      </c>
      <c r="I41" s="0" t="s">
        <v>102</v>
      </c>
      <c r="J41" s="0" t="s">
        <v>52</v>
      </c>
      <c r="K41" s="0" t="s">
        <v>84</v>
      </c>
      <c r="L41" s="0" t="s">
        <v>70</v>
      </c>
      <c r="M41" s="0" t="s">
        <v>55</v>
      </c>
      <c r="N41" s="0" t="s">
        <v>56</v>
      </c>
      <c r="O41" s="0" t="s">
        <v>55</v>
      </c>
      <c r="P41" s="0" t="s">
        <v>44</v>
      </c>
      <c r="Q41" s="0" t="s">
        <v>207</v>
      </c>
      <c r="R41" s="0" t="n">
        <v>4</v>
      </c>
      <c r="S41" s="0" t="s">
        <v>208</v>
      </c>
      <c r="T41" s="0" t="s">
        <v>106</v>
      </c>
      <c r="U41" s="0" t="s">
        <v>76</v>
      </c>
      <c r="V41" s="0" t="s">
        <v>107</v>
      </c>
      <c r="W41" s="0" t="str">
        <f aca="false">IF(B41&lt;&gt;"Yes","Excluded",IF(R41&gt;=9,"Promoter",IF(R41&gt;=7,"Passive","Detractor")))</f>
        <v>Detractor</v>
      </c>
    </row>
    <row r="42" customFormat="false" ht="15" hidden="false" customHeight="false" outlineLevel="0" collapsed="false">
      <c r="A42" s="0" t="s">
        <v>209</v>
      </c>
      <c r="B42" s="0" t="s">
        <v>44</v>
      </c>
      <c r="C42" s="0" t="s">
        <v>45</v>
      </c>
      <c r="D42" s="0" t="s">
        <v>46</v>
      </c>
      <c r="E42" s="0" t="s">
        <v>127</v>
      </c>
      <c r="F42" s="0" t="s">
        <v>65</v>
      </c>
      <c r="G42" s="0" t="s">
        <v>66</v>
      </c>
      <c r="H42" s="0" t="s">
        <v>82</v>
      </c>
      <c r="I42" s="0" t="s">
        <v>83</v>
      </c>
      <c r="J42" s="0" t="s">
        <v>167</v>
      </c>
      <c r="K42" s="0" t="s">
        <v>53</v>
      </c>
      <c r="L42" s="0" t="s">
        <v>54</v>
      </c>
      <c r="M42" s="0" t="s">
        <v>44</v>
      </c>
      <c r="N42" s="0" t="s">
        <v>71</v>
      </c>
      <c r="O42" s="0" t="s">
        <v>55</v>
      </c>
      <c r="P42" s="0" t="s">
        <v>72</v>
      </c>
      <c r="Q42" s="0" t="s">
        <v>73</v>
      </c>
      <c r="R42" s="0" t="n">
        <v>9</v>
      </c>
      <c r="S42" s="0" t="s">
        <v>140</v>
      </c>
      <c r="T42" s="0" t="s">
        <v>131</v>
      </c>
      <c r="U42" s="0" t="s">
        <v>55</v>
      </c>
      <c r="V42" s="0" t="s">
        <v>56</v>
      </c>
      <c r="W42" s="0" t="str">
        <f aca="false">IF(B42&lt;&gt;"Yes","Excluded",IF(R42&gt;=9,"Promoter",IF(R42&gt;=7,"Passive","Detractor")))</f>
        <v>Promoter</v>
      </c>
    </row>
    <row r="43" customFormat="false" ht="15" hidden="false" customHeight="false" outlineLevel="0" collapsed="false">
      <c r="A43" s="0" t="s">
        <v>210</v>
      </c>
      <c r="B43" s="0" t="s">
        <v>44</v>
      </c>
      <c r="C43" s="0" t="s">
        <v>79</v>
      </c>
      <c r="D43" s="0" t="s">
        <v>46</v>
      </c>
      <c r="E43" s="0" t="s">
        <v>127</v>
      </c>
      <c r="F43" s="0" t="s">
        <v>65</v>
      </c>
      <c r="G43" s="0" t="s">
        <v>211</v>
      </c>
      <c r="H43" s="0" t="s">
        <v>138</v>
      </c>
      <c r="I43" s="0" t="s">
        <v>144</v>
      </c>
      <c r="J43" s="0" t="s">
        <v>96</v>
      </c>
      <c r="K43" s="0" t="s">
        <v>84</v>
      </c>
      <c r="L43" s="0" t="s">
        <v>54</v>
      </c>
      <c r="M43" s="0" t="s">
        <v>55</v>
      </c>
      <c r="N43" s="0" t="s">
        <v>56</v>
      </c>
      <c r="O43" s="0" t="s">
        <v>55</v>
      </c>
      <c r="P43" s="0" t="s">
        <v>72</v>
      </c>
      <c r="Q43" s="0" t="s">
        <v>212</v>
      </c>
      <c r="R43" s="0" t="n">
        <v>10</v>
      </c>
      <c r="S43" s="0" t="s">
        <v>98</v>
      </c>
      <c r="T43" s="0" t="s">
        <v>59</v>
      </c>
      <c r="U43" s="0" t="s">
        <v>55</v>
      </c>
      <c r="V43" s="0" t="s">
        <v>56</v>
      </c>
      <c r="W43" s="0" t="str">
        <f aca="false">IF(B43&lt;&gt;"Yes","Excluded",IF(R43&gt;=9,"Promoter",IF(R43&gt;=7,"Passive","Detractor")))</f>
        <v>Promoter</v>
      </c>
    </row>
    <row r="44" customFormat="false" ht="15" hidden="false" customHeight="false" outlineLevel="0" collapsed="false">
      <c r="A44" s="0" t="s">
        <v>213</v>
      </c>
      <c r="B44" s="0" t="s">
        <v>55</v>
      </c>
      <c r="C44" s="0" t="s">
        <v>79</v>
      </c>
      <c r="D44" s="0" t="s">
        <v>90</v>
      </c>
      <c r="E44" s="0" t="s">
        <v>47</v>
      </c>
      <c r="F44" s="0" t="s">
        <v>65</v>
      </c>
      <c r="G44" s="0" t="s">
        <v>56</v>
      </c>
      <c r="H44" s="0" t="s">
        <v>56</v>
      </c>
      <c r="I44" s="0" t="s">
        <v>56</v>
      </c>
      <c r="J44" s="0" t="s">
        <v>56</v>
      </c>
      <c r="K44" s="0" t="s">
        <v>56</v>
      </c>
      <c r="L44" s="0" t="s">
        <v>56</v>
      </c>
      <c r="M44" s="0" t="s">
        <v>55</v>
      </c>
      <c r="N44" s="0" t="s">
        <v>56</v>
      </c>
      <c r="O44" s="0" t="s">
        <v>55</v>
      </c>
      <c r="P44" s="0" t="s">
        <v>72</v>
      </c>
      <c r="Q44" s="0" t="s">
        <v>148</v>
      </c>
      <c r="R44" s="0" t="n">
        <v>1</v>
      </c>
      <c r="S44" s="0" t="s">
        <v>214</v>
      </c>
      <c r="T44" s="0" t="s">
        <v>215</v>
      </c>
      <c r="U44" s="0" t="s">
        <v>55</v>
      </c>
      <c r="V44" s="0" t="s">
        <v>56</v>
      </c>
      <c r="W44" s="0" t="str">
        <f aca="false">IF(B44&lt;&gt;"Yes","Excluded",IF(R44&gt;=9,"Promoter",IF(R44&gt;=7,"Passive","Detractor")))</f>
        <v>Excluded</v>
      </c>
    </row>
    <row r="45" customFormat="false" ht="15" hidden="false" customHeight="false" outlineLevel="0" collapsed="false">
      <c r="A45" s="0" t="s">
        <v>216</v>
      </c>
      <c r="B45" s="0" t="s">
        <v>44</v>
      </c>
      <c r="C45" s="0" t="s">
        <v>79</v>
      </c>
      <c r="D45" s="0" t="s">
        <v>90</v>
      </c>
      <c r="E45" s="0" t="s">
        <v>47</v>
      </c>
      <c r="F45" s="0" t="s">
        <v>65</v>
      </c>
      <c r="G45" s="0" t="s">
        <v>66</v>
      </c>
      <c r="H45" s="0" t="s">
        <v>82</v>
      </c>
      <c r="I45" s="0" t="s">
        <v>144</v>
      </c>
      <c r="J45" s="0" t="s">
        <v>68</v>
      </c>
      <c r="K45" s="0" t="s">
        <v>53</v>
      </c>
      <c r="L45" s="0" t="s">
        <v>70</v>
      </c>
      <c r="M45" s="0" t="s">
        <v>55</v>
      </c>
      <c r="N45" s="0" t="s">
        <v>56</v>
      </c>
      <c r="O45" s="0" t="s">
        <v>55</v>
      </c>
      <c r="P45" s="0" t="s">
        <v>44</v>
      </c>
      <c r="Q45" s="0" t="s">
        <v>217</v>
      </c>
      <c r="R45" s="0" t="n">
        <v>5</v>
      </c>
      <c r="S45" s="0" t="s">
        <v>185</v>
      </c>
      <c r="T45" s="0" t="s">
        <v>75</v>
      </c>
      <c r="U45" s="0" t="s">
        <v>55</v>
      </c>
      <c r="V45" s="0" t="s">
        <v>56</v>
      </c>
      <c r="W45" s="0" t="str">
        <f aca="false">IF(B45&lt;&gt;"Yes","Excluded",IF(R45&gt;=9,"Promoter",IF(R45&gt;=7,"Passive","Detractor")))</f>
        <v>Detractor</v>
      </c>
    </row>
    <row r="46" customFormat="false" ht="15" hidden="false" customHeight="false" outlineLevel="0" collapsed="false">
      <c r="A46" s="0" t="s">
        <v>218</v>
      </c>
      <c r="B46" s="0" t="s">
        <v>44</v>
      </c>
      <c r="C46" s="0" t="s">
        <v>45</v>
      </c>
      <c r="D46" s="0" t="s">
        <v>46</v>
      </c>
      <c r="E46" s="0" t="s">
        <v>80</v>
      </c>
      <c r="F46" s="0" t="s">
        <v>112</v>
      </c>
      <c r="G46" s="0" t="s">
        <v>219</v>
      </c>
      <c r="H46" s="0" t="s">
        <v>129</v>
      </c>
      <c r="I46" s="0" t="s">
        <v>51</v>
      </c>
      <c r="J46" s="0" t="s">
        <v>52</v>
      </c>
      <c r="K46" s="0" t="s">
        <v>84</v>
      </c>
      <c r="L46" s="0" t="s">
        <v>70</v>
      </c>
      <c r="M46" s="0" t="s">
        <v>44</v>
      </c>
      <c r="N46" s="0" t="s">
        <v>134</v>
      </c>
      <c r="O46" s="0" t="s">
        <v>44</v>
      </c>
      <c r="P46" s="0" t="s">
        <v>72</v>
      </c>
      <c r="Q46" s="0" t="s">
        <v>148</v>
      </c>
      <c r="R46" s="0" t="n">
        <v>4</v>
      </c>
      <c r="S46" s="0" t="s">
        <v>220</v>
      </c>
      <c r="T46" s="0" t="s">
        <v>172</v>
      </c>
      <c r="U46" s="0" t="s">
        <v>60</v>
      </c>
      <c r="V46" s="0" t="s">
        <v>61</v>
      </c>
      <c r="W46" s="0" t="str">
        <f aca="false">IF(B46&lt;&gt;"Yes","Excluded",IF(R46&gt;=9,"Promoter",IF(R46&gt;=7,"Passive","Detractor")))</f>
        <v>Detractor</v>
      </c>
    </row>
    <row r="47" customFormat="false" ht="15" hidden="false" customHeight="false" outlineLevel="0" collapsed="false">
      <c r="A47" s="0" t="s">
        <v>221</v>
      </c>
      <c r="B47" s="0" t="s">
        <v>44</v>
      </c>
      <c r="C47" s="0" t="s">
        <v>133</v>
      </c>
      <c r="D47" s="0" t="s">
        <v>90</v>
      </c>
      <c r="E47" s="0" t="s">
        <v>127</v>
      </c>
      <c r="F47" s="0" t="s">
        <v>65</v>
      </c>
      <c r="G47" s="0" t="s">
        <v>49</v>
      </c>
      <c r="H47" s="0" t="s">
        <v>67</v>
      </c>
      <c r="I47" s="0" t="s">
        <v>51</v>
      </c>
      <c r="J47" s="0" t="s">
        <v>68</v>
      </c>
      <c r="K47" s="0" t="s">
        <v>69</v>
      </c>
      <c r="L47" s="0" t="s">
        <v>70</v>
      </c>
      <c r="M47" s="0" t="s">
        <v>44</v>
      </c>
      <c r="N47" s="0" t="s">
        <v>119</v>
      </c>
      <c r="O47" s="0" t="s">
        <v>44</v>
      </c>
      <c r="P47" s="0" t="s">
        <v>72</v>
      </c>
      <c r="Q47" s="0" t="s">
        <v>148</v>
      </c>
      <c r="R47" s="0" t="n">
        <v>7</v>
      </c>
      <c r="S47" s="0" t="s">
        <v>105</v>
      </c>
      <c r="T47" s="0" t="s">
        <v>110</v>
      </c>
      <c r="U47" s="0" t="s">
        <v>55</v>
      </c>
      <c r="V47" s="0" t="s">
        <v>56</v>
      </c>
      <c r="W47" s="0" t="str">
        <f aca="false">IF(B47&lt;&gt;"Yes","Excluded",IF(R47&gt;=9,"Promoter",IF(R47&gt;=7,"Passive","Detractor")))</f>
        <v>Passive</v>
      </c>
    </row>
    <row r="48" customFormat="false" ht="15" hidden="false" customHeight="false" outlineLevel="0" collapsed="false">
      <c r="A48" s="0" t="s">
        <v>222</v>
      </c>
      <c r="B48" s="0" t="s">
        <v>44</v>
      </c>
      <c r="C48" s="0" t="s">
        <v>79</v>
      </c>
      <c r="D48" s="0" t="s">
        <v>46</v>
      </c>
      <c r="E48" s="0" t="s">
        <v>91</v>
      </c>
      <c r="F48" s="0" t="s">
        <v>112</v>
      </c>
      <c r="G48" s="0" t="s">
        <v>128</v>
      </c>
      <c r="H48" s="0" t="s">
        <v>82</v>
      </c>
      <c r="I48" s="0" t="s">
        <v>83</v>
      </c>
      <c r="J48" s="0" t="s">
        <v>68</v>
      </c>
      <c r="K48" s="0" t="s">
        <v>84</v>
      </c>
      <c r="L48" s="0" t="s">
        <v>54</v>
      </c>
      <c r="M48" s="0" t="s">
        <v>55</v>
      </c>
      <c r="N48" s="0" t="s">
        <v>56</v>
      </c>
      <c r="O48" s="0" t="s">
        <v>44</v>
      </c>
      <c r="P48" s="0" t="s">
        <v>72</v>
      </c>
      <c r="Q48" s="0" t="s">
        <v>130</v>
      </c>
      <c r="R48" s="0" t="n">
        <v>8</v>
      </c>
      <c r="S48" s="0" t="s">
        <v>121</v>
      </c>
      <c r="T48" s="0" t="s">
        <v>99</v>
      </c>
      <c r="U48" s="0" t="s">
        <v>76</v>
      </c>
      <c r="V48" s="0" t="s">
        <v>142</v>
      </c>
      <c r="W48" s="0" t="str">
        <f aca="false">IF(B48&lt;&gt;"Yes","Excluded",IF(R48&gt;=9,"Promoter",IF(R48&gt;=7,"Passive","Detractor")))</f>
        <v>Passive</v>
      </c>
    </row>
    <row r="49" customFormat="false" ht="15" hidden="false" customHeight="false" outlineLevel="0" collapsed="false">
      <c r="A49" s="0" t="s">
        <v>223</v>
      </c>
      <c r="B49" s="0" t="s">
        <v>44</v>
      </c>
      <c r="C49" s="0" t="s">
        <v>79</v>
      </c>
      <c r="D49" s="0" t="s">
        <v>46</v>
      </c>
      <c r="E49" s="0" t="s">
        <v>64</v>
      </c>
      <c r="F49" s="0" t="s">
        <v>65</v>
      </c>
      <c r="G49" s="0" t="s">
        <v>101</v>
      </c>
      <c r="H49" s="0" t="s">
        <v>94</v>
      </c>
      <c r="I49" s="0" t="s">
        <v>144</v>
      </c>
      <c r="J49" s="0" t="s">
        <v>68</v>
      </c>
      <c r="K49" s="0" t="s">
        <v>69</v>
      </c>
      <c r="L49" s="0" t="s">
        <v>70</v>
      </c>
      <c r="M49" s="0" t="s">
        <v>55</v>
      </c>
      <c r="N49" s="0" t="s">
        <v>56</v>
      </c>
      <c r="O49" s="0" t="s">
        <v>55</v>
      </c>
      <c r="P49" s="0" t="s">
        <v>72</v>
      </c>
      <c r="Q49" s="0" t="s">
        <v>153</v>
      </c>
      <c r="R49" s="0" t="n">
        <v>4</v>
      </c>
      <c r="S49" s="0" t="s">
        <v>224</v>
      </c>
      <c r="T49" s="0" t="s">
        <v>106</v>
      </c>
      <c r="U49" s="0" t="s">
        <v>76</v>
      </c>
      <c r="V49" s="0" t="s">
        <v>107</v>
      </c>
      <c r="W49" s="0" t="str">
        <f aca="false">IF(B49&lt;&gt;"Yes","Excluded",IF(R49&gt;=9,"Promoter",IF(R49&gt;=7,"Passive","Detractor")))</f>
        <v>Detractor</v>
      </c>
    </row>
    <row r="50" customFormat="false" ht="15" hidden="false" customHeight="false" outlineLevel="0" collapsed="false">
      <c r="A50" s="0" t="s">
        <v>225</v>
      </c>
      <c r="B50" s="0" t="s">
        <v>44</v>
      </c>
      <c r="C50" s="0" t="s">
        <v>45</v>
      </c>
      <c r="D50" s="0" t="s">
        <v>90</v>
      </c>
      <c r="E50" s="0" t="s">
        <v>127</v>
      </c>
      <c r="F50" s="0" t="s">
        <v>48</v>
      </c>
      <c r="G50" s="0" t="s">
        <v>81</v>
      </c>
      <c r="H50" s="0" t="s">
        <v>94</v>
      </c>
      <c r="I50" s="0" t="s">
        <v>102</v>
      </c>
      <c r="J50" s="0" t="s">
        <v>114</v>
      </c>
      <c r="K50" s="0" t="s">
        <v>53</v>
      </c>
      <c r="L50" s="0" t="s">
        <v>103</v>
      </c>
      <c r="M50" s="0" t="s">
        <v>44</v>
      </c>
      <c r="N50" s="0" t="s">
        <v>71</v>
      </c>
      <c r="O50" s="0" t="s">
        <v>55</v>
      </c>
      <c r="P50" s="0" t="s">
        <v>55</v>
      </c>
      <c r="Q50" s="0" t="s">
        <v>85</v>
      </c>
      <c r="R50" s="0" t="n">
        <v>7</v>
      </c>
      <c r="S50" s="0" t="s">
        <v>121</v>
      </c>
      <c r="T50" s="0" t="s">
        <v>106</v>
      </c>
      <c r="U50" s="0" t="s">
        <v>55</v>
      </c>
      <c r="V50" s="0" t="s">
        <v>56</v>
      </c>
      <c r="W50" s="0" t="str">
        <f aca="false">IF(B50&lt;&gt;"Yes","Excluded",IF(R50&gt;=9,"Promoter",IF(R50&gt;=7,"Passive","Detractor")))</f>
        <v>Passive</v>
      </c>
    </row>
    <row r="51" customFormat="false" ht="15" hidden="false" customHeight="false" outlineLevel="0" collapsed="false">
      <c r="A51" s="0" t="s">
        <v>226</v>
      </c>
      <c r="B51" s="0" t="s">
        <v>44</v>
      </c>
      <c r="C51" s="0" t="s">
        <v>45</v>
      </c>
      <c r="D51" s="0" t="s">
        <v>90</v>
      </c>
      <c r="E51" s="0" t="s">
        <v>227</v>
      </c>
      <c r="F51" s="0" t="s">
        <v>65</v>
      </c>
      <c r="G51" s="0" t="s">
        <v>113</v>
      </c>
      <c r="H51" s="0" t="s">
        <v>82</v>
      </c>
      <c r="I51" s="0" t="s">
        <v>144</v>
      </c>
      <c r="J51" s="0" t="s">
        <v>114</v>
      </c>
      <c r="K51" s="0" t="s">
        <v>53</v>
      </c>
      <c r="L51" s="0" t="s">
        <v>54</v>
      </c>
      <c r="M51" s="0" t="s">
        <v>55</v>
      </c>
      <c r="N51" s="0" t="s">
        <v>56</v>
      </c>
      <c r="O51" s="0" t="s">
        <v>55</v>
      </c>
      <c r="P51" s="0" t="s">
        <v>72</v>
      </c>
      <c r="Q51" s="0" t="s">
        <v>148</v>
      </c>
      <c r="R51" s="0" t="n">
        <v>9</v>
      </c>
      <c r="S51" s="0" t="s">
        <v>150</v>
      </c>
      <c r="T51" s="0" t="s">
        <v>110</v>
      </c>
      <c r="U51" s="0" t="s">
        <v>55</v>
      </c>
      <c r="V51" s="0" t="s">
        <v>56</v>
      </c>
      <c r="W51" s="0" t="str">
        <f aca="false">IF(B51&lt;&gt;"Yes","Excluded",IF(R51&gt;=9,"Promoter",IF(R51&gt;=7,"Passive","Detractor")))</f>
        <v>Promoter</v>
      </c>
    </row>
    <row r="52" customFormat="false" ht="15" hidden="false" customHeight="false" outlineLevel="0" collapsed="false">
      <c r="A52" s="0" t="s">
        <v>228</v>
      </c>
      <c r="B52" s="0" t="s">
        <v>44</v>
      </c>
      <c r="C52" s="0" t="s">
        <v>45</v>
      </c>
      <c r="D52" s="0" t="s">
        <v>90</v>
      </c>
      <c r="E52" s="0" t="s">
        <v>64</v>
      </c>
      <c r="F52" s="0" t="s">
        <v>65</v>
      </c>
      <c r="G52" s="0" t="s">
        <v>229</v>
      </c>
      <c r="H52" s="0" t="s">
        <v>50</v>
      </c>
      <c r="I52" s="0" t="s">
        <v>144</v>
      </c>
      <c r="J52" s="0" t="s">
        <v>114</v>
      </c>
      <c r="K52" s="0" t="s">
        <v>84</v>
      </c>
      <c r="L52" s="0" t="s">
        <v>54</v>
      </c>
      <c r="M52" s="0" t="s">
        <v>55</v>
      </c>
      <c r="N52" s="0" t="s">
        <v>56</v>
      </c>
      <c r="O52" s="0" t="s">
        <v>55</v>
      </c>
      <c r="P52" s="0" t="s">
        <v>55</v>
      </c>
      <c r="Q52" s="0" t="s">
        <v>109</v>
      </c>
      <c r="R52" s="0" t="n">
        <v>9</v>
      </c>
      <c r="S52" s="0" t="s">
        <v>58</v>
      </c>
      <c r="T52" s="0" t="s">
        <v>141</v>
      </c>
      <c r="U52" s="0" t="s">
        <v>55</v>
      </c>
      <c r="V52" s="0" t="s">
        <v>56</v>
      </c>
      <c r="W52" s="0" t="str">
        <f aca="false">IF(B52&lt;&gt;"Yes","Excluded",IF(R52&gt;=9,"Promoter",IF(R52&gt;=7,"Passive","Detractor")))</f>
        <v>Promoter</v>
      </c>
    </row>
    <row r="53" customFormat="false" ht="15" hidden="false" customHeight="false" outlineLevel="0" collapsed="false">
      <c r="A53" s="0" t="s">
        <v>230</v>
      </c>
      <c r="B53" s="0" t="s">
        <v>44</v>
      </c>
      <c r="C53" s="0" t="s">
        <v>63</v>
      </c>
      <c r="D53" s="0" t="s">
        <v>46</v>
      </c>
      <c r="E53" s="0" t="s">
        <v>80</v>
      </c>
      <c r="F53" s="0" t="s">
        <v>92</v>
      </c>
      <c r="G53" s="0" t="s">
        <v>49</v>
      </c>
      <c r="H53" s="0" t="s">
        <v>50</v>
      </c>
      <c r="I53" s="0" t="s">
        <v>51</v>
      </c>
      <c r="J53" s="0" t="s">
        <v>68</v>
      </c>
      <c r="K53" s="0" t="s">
        <v>84</v>
      </c>
      <c r="L53" s="0" t="s">
        <v>70</v>
      </c>
      <c r="M53" s="0" t="s">
        <v>44</v>
      </c>
      <c r="N53" s="0" t="s">
        <v>71</v>
      </c>
      <c r="O53" s="0" t="s">
        <v>44</v>
      </c>
      <c r="P53" s="0" t="s">
        <v>55</v>
      </c>
      <c r="Q53" s="0" t="s">
        <v>73</v>
      </c>
      <c r="R53" s="0" t="n">
        <v>6</v>
      </c>
      <c r="S53" s="0" t="s">
        <v>136</v>
      </c>
      <c r="T53" s="0" t="s">
        <v>172</v>
      </c>
      <c r="U53" s="0" t="s">
        <v>60</v>
      </c>
      <c r="V53" s="0" t="s">
        <v>77</v>
      </c>
      <c r="W53" s="0" t="str">
        <f aca="false">IF(B53&lt;&gt;"Yes","Excluded",IF(R53&gt;=9,"Promoter",IF(R53&gt;=7,"Passive","Detractor")))</f>
        <v>Detractor</v>
      </c>
    </row>
    <row r="54" customFormat="false" ht="15" hidden="false" customHeight="false" outlineLevel="0" collapsed="false">
      <c r="A54" s="0" t="s">
        <v>231</v>
      </c>
      <c r="B54" s="0" t="s">
        <v>44</v>
      </c>
      <c r="C54" s="0" t="s">
        <v>133</v>
      </c>
      <c r="D54" s="0" t="s">
        <v>90</v>
      </c>
      <c r="E54" s="0" t="s">
        <v>47</v>
      </c>
      <c r="F54" s="0" t="s">
        <v>117</v>
      </c>
      <c r="G54" s="0" t="s">
        <v>232</v>
      </c>
      <c r="H54" s="0" t="s">
        <v>94</v>
      </c>
      <c r="I54" s="0" t="s">
        <v>102</v>
      </c>
      <c r="J54" s="0" t="s">
        <v>167</v>
      </c>
      <c r="K54" s="0" t="s">
        <v>53</v>
      </c>
      <c r="L54" s="0" t="s">
        <v>54</v>
      </c>
      <c r="M54" s="0" t="s">
        <v>55</v>
      </c>
      <c r="N54" s="0" t="s">
        <v>56</v>
      </c>
      <c r="O54" s="0" t="s">
        <v>55</v>
      </c>
      <c r="P54" s="0" t="s">
        <v>55</v>
      </c>
      <c r="Q54" s="0" t="s">
        <v>233</v>
      </c>
      <c r="R54" s="0" t="n">
        <v>10</v>
      </c>
      <c r="S54" s="0" t="s">
        <v>140</v>
      </c>
      <c r="T54" s="0" t="s">
        <v>87</v>
      </c>
      <c r="U54" s="0" t="s">
        <v>55</v>
      </c>
      <c r="V54" s="0" t="s">
        <v>56</v>
      </c>
      <c r="W54" s="0" t="str">
        <f aca="false">IF(B54&lt;&gt;"Yes","Excluded",IF(R54&gt;=9,"Promoter",IF(R54&gt;=7,"Passive","Detractor")))</f>
        <v>Promoter</v>
      </c>
    </row>
    <row r="55" customFormat="false" ht="15" hidden="false" customHeight="false" outlineLevel="0" collapsed="false">
      <c r="A55" s="0" t="s">
        <v>234</v>
      </c>
      <c r="B55" s="0" t="s">
        <v>44</v>
      </c>
      <c r="C55" s="0" t="s">
        <v>133</v>
      </c>
      <c r="D55" s="0" t="s">
        <v>90</v>
      </c>
      <c r="E55" s="0" t="s">
        <v>227</v>
      </c>
      <c r="F55" s="0" t="s">
        <v>65</v>
      </c>
      <c r="G55" s="0" t="s">
        <v>161</v>
      </c>
      <c r="H55" s="0" t="s">
        <v>94</v>
      </c>
      <c r="I55" s="0" t="s">
        <v>51</v>
      </c>
      <c r="J55" s="0" t="s">
        <v>52</v>
      </c>
      <c r="K55" s="0" t="s">
        <v>53</v>
      </c>
      <c r="L55" s="0" t="s">
        <v>54</v>
      </c>
      <c r="M55" s="0" t="s">
        <v>55</v>
      </c>
      <c r="N55" s="0" t="s">
        <v>56</v>
      </c>
      <c r="O55" s="0" t="s">
        <v>44</v>
      </c>
      <c r="P55" s="0" t="s">
        <v>44</v>
      </c>
      <c r="Q55" s="0" t="s">
        <v>235</v>
      </c>
      <c r="R55" s="0" t="n">
        <v>9</v>
      </c>
      <c r="S55" s="0" t="s">
        <v>150</v>
      </c>
      <c r="T55" s="0" t="s">
        <v>106</v>
      </c>
      <c r="U55" s="0" t="s">
        <v>55</v>
      </c>
      <c r="V55" s="0" t="s">
        <v>56</v>
      </c>
      <c r="W55" s="0" t="str">
        <f aca="false">IF(B55&lt;&gt;"Yes","Excluded",IF(R55&gt;=9,"Promoter",IF(R55&gt;=7,"Passive","Detractor")))</f>
        <v>Promoter</v>
      </c>
    </row>
    <row r="56" customFormat="false" ht="15" hidden="false" customHeight="false" outlineLevel="0" collapsed="false">
      <c r="A56" s="0" t="s">
        <v>236</v>
      </c>
      <c r="B56" s="0" t="s">
        <v>44</v>
      </c>
      <c r="C56" s="0" t="s">
        <v>133</v>
      </c>
      <c r="D56" s="0" t="s">
        <v>46</v>
      </c>
      <c r="E56" s="0" t="s">
        <v>80</v>
      </c>
      <c r="F56" s="0" t="s">
        <v>117</v>
      </c>
      <c r="G56" s="0" t="s">
        <v>81</v>
      </c>
      <c r="H56" s="0" t="s">
        <v>67</v>
      </c>
      <c r="I56" s="0" t="s">
        <v>83</v>
      </c>
      <c r="J56" s="0" t="s">
        <v>167</v>
      </c>
      <c r="K56" s="0" t="s">
        <v>69</v>
      </c>
      <c r="L56" s="0" t="s">
        <v>103</v>
      </c>
      <c r="M56" s="0" t="s">
        <v>55</v>
      </c>
      <c r="N56" s="0" t="s">
        <v>56</v>
      </c>
      <c r="O56" s="0" t="s">
        <v>55</v>
      </c>
      <c r="P56" s="0" t="s">
        <v>55</v>
      </c>
      <c r="Q56" s="0" t="s">
        <v>109</v>
      </c>
      <c r="R56" s="0" t="n">
        <v>6</v>
      </c>
      <c r="S56" s="0" t="s">
        <v>74</v>
      </c>
      <c r="T56" s="0" t="s">
        <v>99</v>
      </c>
      <c r="U56" s="0" t="s">
        <v>55</v>
      </c>
      <c r="V56" s="0" t="s">
        <v>56</v>
      </c>
      <c r="W56" s="0" t="str">
        <f aca="false">IF(B56&lt;&gt;"Yes","Excluded",IF(R56&gt;=9,"Promoter",IF(R56&gt;=7,"Passive","Detractor")))</f>
        <v>Detractor</v>
      </c>
    </row>
    <row r="57" customFormat="false" ht="15" hidden="false" customHeight="false" outlineLevel="0" collapsed="false">
      <c r="A57" s="0" t="s">
        <v>237</v>
      </c>
      <c r="B57" s="0" t="s">
        <v>44</v>
      </c>
      <c r="C57" s="0" t="s">
        <v>79</v>
      </c>
      <c r="D57" s="0" t="s">
        <v>90</v>
      </c>
      <c r="E57" s="0" t="s">
        <v>127</v>
      </c>
      <c r="F57" s="0" t="s">
        <v>65</v>
      </c>
      <c r="G57" s="0" t="s">
        <v>197</v>
      </c>
      <c r="H57" s="0" t="s">
        <v>82</v>
      </c>
      <c r="I57" s="0" t="s">
        <v>51</v>
      </c>
      <c r="J57" s="0" t="s">
        <v>167</v>
      </c>
      <c r="K57" s="0" t="s">
        <v>53</v>
      </c>
      <c r="L57" s="0" t="s">
        <v>70</v>
      </c>
      <c r="M57" s="0" t="s">
        <v>55</v>
      </c>
      <c r="N57" s="0" t="s">
        <v>56</v>
      </c>
      <c r="O57" s="0" t="s">
        <v>55</v>
      </c>
      <c r="P57" s="0" t="s">
        <v>55</v>
      </c>
      <c r="Q57" s="0" t="s">
        <v>233</v>
      </c>
      <c r="R57" s="0" t="n">
        <v>5</v>
      </c>
      <c r="S57" s="0" t="s">
        <v>136</v>
      </c>
      <c r="T57" s="0" t="s">
        <v>75</v>
      </c>
      <c r="U57" s="0" t="s">
        <v>60</v>
      </c>
      <c r="V57" s="0" t="s">
        <v>77</v>
      </c>
      <c r="W57" s="0" t="str">
        <f aca="false">IF(B57&lt;&gt;"Yes","Excluded",IF(R57&gt;=9,"Promoter",IF(R57&gt;=7,"Passive","Detractor")))</f>
        <v>Detractor</v>
      </c>
    </row>
    <row r="58" customFormat="false" ht="15" hidden="false" customHeight="false" outlineLevel="0" collapsed="false">
      <c r="A58" s="0" t="s">
        <v>238</v>
      </c>
      <c r="B58" s="0" t="s">
        <v>44</v>
      </c>
      <c r="C58" s="0" t="s">
        <v>63</v>
      </c>
      <c r="D58" s="0" t="s">
        <v>46</v>
      </c>
      <c r="E58" s="0" t="s">
        <v>80</v>
      </c>
      <c r="F58" s="0" t="s">
        <v>117</v>
      </c>
      <c r="G58" s="0" t="s">
        <v>155</v>
      </c>
      <c r="H58" s="0" t="s">
        <v>67</v>
      </c>
      <c r="I58" s="0" t="s">
        <v>95</v>
      </c>
      <c r="J58" s="0" t="s">
        <v>96</v>
      </c>
      <c r="K58" s="0" t="s">
        <v>84</v>
      </c>
      <c r="L58" s="0" t="s">
        <v>54</v>
      </c>
      <c r="M58" s="0" t="s">
        <v>55</v>
      </c>
      <c r="N58" s="0" t="s">
        <v>56</v>
      </c>
      <c r="O58" s="0" t="s">
        <v>55</v>
      </c>
      <c r="P58" s="0" t="s">
        <v>55</v>
      </c>
      <c r="Q58" s="0" t="s">
        <v>85</v>
      </c>
      <c r="R58" s="0" t="n">
        <v>6</v>
      </c>
      <c r="S58" s="0" t="s">
        <v>74</v>
      </c>
      <c r="T58" s="0" t="s">
        <v>106</v>
      </c>
      <c r="U58" s="0" t="s">
        <v>55</v>
      </c>
      <c r="V58" s="0" t="s">
        <v>56</v>
      </c>
      <c r="W58" s="0" t="str">
        <f aca="false">IF(B58&lt;&gt;"Yes","Excluded",IF(R58&gt;=9,"Promoter",IF(R58&gt;=7,"Passive","Detractor")))</f>
        <v>Detractor</v>
      </c>
    </row>
    <row r="59" customFormat="false" ht="15" hidden="false" customHeight="false" outlineLevel="0" collapsed="false">
      <c r="A59" s="0" t="s">
        <v>239</v>
      </c>
      <c r="B59" s="0" t="s">
        <v>44</v>
      </c>
      <c r="C59" s="0" t="s">
        <v>45</v>
      </c>
      <c r="D59" s="0" t="s">
        <v>46</v>
      </c>
      <c r="E59" s="0" t="s">
        <v>64</v>
      </c>
      <c r="F59" s="0" t="s">
        <v>48</v>
      </c>
      <c r="G59" s="0" t="s">
        <v>81</v>
      </c>
      <c r="H59" s="0" t="s">
        <v>94</v>
      </c>
      <c r="I59" s="0" t="s">
        <v>51</v>
      </c>
      <c r="J59" s="0" t="s">
        <v>68</v>
      </c>
      <c r="K59" s="0" t="s">
        <v>84</v>
      </c>
      <c r="L59" s="0" t="s">
        <v>70</v>
      </c>
      <c r="M59" s="0" t="s">
        <v>55</v>
      </c>
      <c r="N59" s="0" t="s">
        <v>56</v>
      </c>
      <c r="O59" s="0" t="s">
        <v>55</v>
      </c>
      <c r="P59" s="0" t="s">
        <v>44</v>
      </c>
      <c r="Q59" s="0" t="s">
        <v>240</v>
      </c>
      <c r="R59" s="0" t="n">
        <v>5</v>
      </c>
      <c r="S59" s="0" t="s">
        <v>136</v>
      </c>
      <c r="T59" s="0" t="s">
        <v>110</v>
      </c>
      <c r="U59" s="0" t="s">
        <v>60</v>
      </c>
      <c r="V59" s="0" t="s">
        <v>77</v>
      </c>
      <c r="W59" s="0" t="str">
        <f aca="false">IF(B59&lt;&gt;"Yes","Excluded",IF(R59&gt;=9,"Promoter",IF(R59&gt;=7,"Passive","Detractor")))</f>
        <v>Detractor</v>
      </c>
    </row>
    <row r="60" customFormat="false" ht="15" hidden="false" customHeight="false" outlineLevel="0" collapsed="false">
      <c r="A60" s="0" t="s">
        <v>241</v>
      </c>
      <c r="B60" s="0" t="s">
        <v>44</v>
      </c>
      <c r="C60" s="0" t="s">
        <v>45</v>
      </c>
      <c r="D60" s="0" t="s">
        <v>90</v>
      </c>
      <c r="E60" s="0" t="s">
        <v>64</v>
      </c>
      <c r="F60" s="0" t="s">
        <v>48</v>
      </c>
      <c r="G60" s="0" t="s">
        <v>242</v>
      </c>
      <c r="H60" s="0" t="s">
        <v>82</v>
      </c>
      <c r="I60" s="0" t="s">
        <v>83</v>
      </c>
      <c r="J60" s="0" t="s">
        <v>167</v>
      </c>
      <c r="K60" s="0" t="s">
        <v>84</v>
      </c>
      <c r="L60" s="0" t="s">
        <v>70</v>
      </c>
      <c r="M60" s="0" t="s">
        <v>55</v>
      </c>
      <c r="N60" s="0" t="s">
        <v>56</v>
      </c>
      <c r="O60" s="0" t="s">
        <v>55</v>
      </c>
      <c r="P60" s="0" t="s">
        <v>72</v>
      </c>
      <c r="Q60" s="0" t="s">
        <v>109</v>
      </c>
      <c r="R60" s="0" t="n">
        <v>10</v>
      </c>
      <c r="S60" s="0" t="s">
        <v>140</v>
      </c>
      <c r="T60" s="0" t="s">
        <v>87</v>
      </c>
      <c r="U60" s="0" t="s">
        <v>55</v>
      </c>
      <c r="V60" s="0" t="s">
        <v>56</v>
      </c>
      <c r="W60" s="0" t="str">
        <f aca="false">IF(B60&lt;&gt;"Yes","Excluded",IF(R60&gt;=9,"Promoter",IF(R60&gt;=7,"Passive","Detractor")))</f>
        <v>Promoter</v>
      </c>
    </row>
    <row r="61" customFormat="false" ht="15" hidden="false" customHeight="false" outlineLevel="0" collapsed="false">
      <c r="A61" s="0" t="s">
        <v>243</v>
      </c>
      <c r="B61" s="0" t="s">
        <v>44</v>
      </c>
      <c r="C61" s="0" t="s">
        <v>79</v>
      </c>
      <c r="D61" s="0" t="s">
        <v>46</v>
      </c>
      <c r="E61" s="0" t="s">
        <v>127</v>
      </c>
      <c r="F61" s="0" t="s">
        <v>65</v>
      </c>
      <c r="G61" s="0" t="s">
        <v>49</v>
      </c>
      <c r="H61" s="0" t="s">
        <v>82</v>
      </c>
      <c r="I61" s="0" t="s">
        <v>51</v>
      </c>
      <c r="J61" s="0" t="s">
        <v>68</v>
      </c>
      <c r="K61" s="0" t="s">
        <v>84</v>
      </c>
      <c r="L61" s="0" t="s">
        <v>54</v>
      </c>
      <c r="M61" s="0" t="s">
        <v>55</v>
      </c>
      <c r="N61" s="0" t="s">
        <v>56</v>
      </c>
      <c r="O61" s="0" t="s">
        <v>55</v>
      </c>
      <c r="P61" s="0" t="s">
        <v>44</v>
      </c>
      <c r="Q61" s="0" t="s">
        <v>130</v>
      </c>
      <c r="R61" s="0" t="n">
        <v>10</v>
      </c>
      <c r="S61" s="0" t="s">
        <v>150</v>
      </c>
      <c r="T61" s="0" t="s">
        <v>59</v>
      </c>
      <c r="U61" s="0" t="s">
        <v>60</v>
      </c>
      <c r="V61" s="0" t="s">
        <v>142</v>
      </c>
      <c r="W61" s="0" t="str">
        <f aca="false">IF(B61&lt;&gt;"Yes","Excluded",IF(R61&gt;=9,"Promoter",IF(R61&gt;=7,"Passive","Detractor")))</f>
        <v>Promoter</v>
      </c>
    </row>
    <row r="62" customFormat="false" ht="15" hidden="false" customHeight="false" outlineLevel="0" collapsed="false">
      <c r="A62" s="0" t="s">
        <v>244</v>
      </c>
      <c r="B62" s="0" t="s">
        <v>44</v>
      </c>
      <c r="C62" s="0" t="s">
        <v>45</v>
      </c>
      <c r="D62" s="0" t="s">
        <v>46</v>
      </c>
      <c r="E62" s="0" t="s">
        <v>64</v>
      </c>
      <c r="F62" s="0" t="s">
        <v>48</v>
      </c>
      <c r="G62" s="0" t="s">
        <v>81</v>
      </c>
      <c r="H62" s="0" t="s">
        <v>94</v>
      </c>
      <c r="I62" s="0" t="s">
        <v>51</v>
      </c>
      <c r="J62" s="0" t="s">
        <v>52</v>
      </c>
      <c r="K62" s="0" t="s">
        <v>53</v>
      </c>
      <c r="L62" s="0" t="s">
        <v>103</v>
      </c>
      <c r="M62" s="0" t="s">
        <v>44</v>
      </c>
      <c r="N62" s="0" t="s">
        <v>134</v>
      </c>
      <c r="O62" s="0" t="s">
        <v>55</v>
      </c>
      <c r="P62" s="0" t="s">
        <v>44</v>
      </c>
      <c r="Q62" s="0" t="s">
        <v>245</v>
      </c>
      <c r="R62" s="0" t="n">
        <v>6</v>
      </c>
      <c r="S62" s="0" t="s">
        <v>136</v>
      </c>
      <c r="T62" s="0" t="s">
        <v>106</v>
      </c>
      <c r="U62" s="0" t="s">
        <v>55</v>
      </c>
      <c r="V62" s="0" t="s">
        <v>56</v>
      </c>
      <c r="W62" s="0" t="str">
        <f aca="false">IF(B62&lt;&gt;"Yes","Excluded",IF(R62&gt;=9,"Promoter",IF(R62&gt;=7,"Passive","Detractor")))</f>
        <v>Detractor</v>
      </c>
    </row>
    <row r="63" customFormat="false" ht="15" hidden="false" customHeight="false" outlineLevel="0" collapsed="false">
      <c r="A63" s="0" t="s">
        <v>246</v>
      </c>
      <c r="B63" s="0" t="s">
        <v>44</v>
      </c>
      <c r="C63" s="0" t="s">
        <v>79</v>
      </c>
      <c r="D63" s="0" t="s">
        <v>46</v>
      </c>
      <c r="E63" s="0" t="s">
        <v>47</v>
      </c>
      <c r="F63" s="0" t="s">
        <v>48</v>
      </c>
      <c r="G63" s="0" t="s">
        <v>66</v>
      </c>
      <c r="H63" s="0" t="s">
        <v>138</v>
      </c>
      <c r="I63" s="0" t="s">
        <v>51</v>
      </c>
      <c r="J63" s="0" t="s">
        <v>167</v>
      </c>
      <c r="K63" s="0" t="s">
        <v>53</v>
      </c>
      <c r="L63" s="0" t="s">
        <v>103</v>
      </c>
      <c r="M63" s="0" t="s">
        <v>55</v>
      </c>
      <c r="N63" s="0" t="s">
        <v>56</v>
      </c>
      <c r="O63" s="0" t="s">
        <v>55</v>
      </c>
      <c r="P63" s="0" t="s">
        <v>72</v>
      </c>
      <c r="Q63" s="0" t="s">
        <v>109</v>
      </c>
      <c r="R63" s="0" t="n">
        <v>9</v>
      </c>
      <c r="S63" s="0" t="s">
        <v>150</v>
      </c>
      <c r="T63" s="0" t="s">
        <v>182</v>
      </c>
      <c r="U63" s="0" t="s">
        <v>55</v>
      </c>
      <c r="V63" s="0" t="s">
        <v>56</v>
      </c>
      <c r="W63" s="0" t="str">
        <f aca="false">IF(B63&lt;&gt;"Yes","Excluded",IF(R63&gt;=9,"Promoter",IF(R63&gt;=7,"Passive","Detractor")))</f>
        <v>Promoter</v>
      </c>
    </row>
    <row r="64" customFormat="false" ht="15" hidden="false" customHeight="false" outlineLevel="0" collapsed="false">
      <c r="A64" s="0" t="s">
        <v>247</v>
      </c>
      <c r="B64" s="0" t="s">
        <v>44</v>
      </c>
      <c r="C64" s="0" t="s">
        <v>133</v>
      </c>
      <c r="D64" s="0" t="s">
        <v>90</v>
      </c>
      <c r="E64" s="0" t="s">
        <v>91</v>
      </c>
      <c r="F64" s="0" t="s">
        <v>65</v>
      </c>
      <c r="G64" s="0" t="s">
        <v>101</v>
      </c>
      <c r="H64" s="0" t="s">
        <v>82</v>
      </c>
      <c r="I64" s="0" t="s">
        <v>123</v>
      </c>
      <c r="J64" s="0" t="s">
        <v>68</v>
      </c>
      <c r="K64" s="0" t="s">
        <v>53</v>
      </c>
      <c r="L64" s="0" t="s">
        <v>54</v>
      </c>
      <c r="M64" s="0" t="s">
        <v>55</v>
      </c>
      <c r="N64" s="0" t="s">
        <v>56</v>
      </c>
      <c r="O64" s="0" t="s">
        <v>55</v>
      </c>
      <c r="P64" s="0" t="s">
        <v>72</v>
      </c>
      <c r="Q64" s="0" t="s">
        <v>165</v>
      </c>
      <c r="R64" s="0" t="n">
        <v>10</v>
      </c>
      <c r="S64" s="0" t="s">
        <v>150</v>
      </c>
      <c r="T64" s="0" t="s">
        <v>87</v>
      </c>
      <c r="U64" s="0" t="s">
        <v>55</v>
      </c>
      <c r="V64" s="0" t="s">
        <v>56</v>
      </c>
      <c r="W64" s="0" t="str">
        <f aca="false">IF(B64&lt;&gt;"Yes","Excluded",IF(R64&gt;=9,"Promoter",IF(R64&gt;=7,"Passive","Detractor")))</f>
        <v>Promoter</v>
      </c>
    </row>
    <row r="65" customFormat="false" ht="15" hidden="false" customHeight="false" outlineLevel="0" collapsed="false">
      <c r="A65" s="0" t="s">
        <v>248</v>
      </c>
      <c r="B65" s="0" t="s">
        <v>55</v>
      </c>
      <c r="C65" s="0" t="s">
        <v>45</v>
      </c>
      <c r="D65" s="0" t="s">
        <v>46</v>
      </c>
      <c r="E65" s="0" t="s">
        <v>64</v>
      </c>
      <c r="F65" s="0" t="s">
        <v>48</v>
      </c>
      <c r="G65" s="0" t="s">
        <v>56</v>
      </c>
      <c r="H65" s="0" t="s">
        <v>56</v>
      </c>
      <c r="I65" s="0" t="s">
        <v>56</v>
      </c>
      <c r="J65" s="0" t="s">
        <v>56</v>
      </c>
      <c r="K65" s="0" t="s">
        <v>56</v>
      </c>
      <c r="L65" s="0" t="s">
        <v>56</v>
      </c>
      <c r="M65" s="0" t="s">
        <v>55</v>
      </c>
      <c r="N65" s="0" t="s">
        <v>56</v>
      </c>
      <c r="O65" s="0" t="s">
        <v>55</v>
      </c>
      <c r="P65" s="0" t="s">
        <v>72</v>
      </c>
      <c r="Q65" s="0" t="s">
        <v>148</v>
      </c>
      <c r="R65" s="0" t="n">
        <v>0</v>
      </c>
      <c r="S65" s="0" t="s">
        <v>214</v>
      </c>
      <c r="T65" s="0" t="s">
        <v>215</v>
      </c>
      <c r="U65" s="0" t="s">
        <v>76</v>
      </c>
      <c r="V65" s="0" t="s">
        <v>56</v>
      </c>
      <c r="W65" s="0" t="str">
        <f aca="false">IF(B65&lt;&gt;"Yes","Excluded",IF(R65&gt;=9,"Promoter",IF(R65&gt;=7,"Passive","Detractor")))</f>
        <v>Excluded</v>
      </c>
    </row>
    <row r="66" customFormat="false" ht="15" hidden="false" customHeight="false" outlineLevel="0" collapsed="false">
      <c r="A66" s="0" t="s">
        <v>249</v>
      </c>
      <c r="B66" s="0" t="s">
        <v>44</v>
      </c>
      <c r="C66" s="0" t="s">
        <v>45</v>
      </c>
      <c r="D66" s="0" t="s">
        <v>46</v>
      </c>
      <c r="E66" s="0" t="s">
        <v>64</v>
      </c>
      <c r="F66" s="0" t="s">
        <v>48</v>
      </c>
      <c r="G66" s="0" t="s">
        <v>250</v>
      </c>
      <c r="H66" s="0" t="s">
        <v>94</v>
      </c>
      <c r="I66" s="0" t="s">
        <v>95</v>
      </c>
      <c r="J66" s="0" t="s">
        <v>68</v>
      </c>
      <c r="K66" s="0" t="s">
        <v>53</v>
      </c>
      <c r="L66" s="0" t="s">
        <v>70</v>
      </c>
      <c r="M66" s="0" t="s">
        <v>55</v>
      </c>
      <c r="N66" s="0" t="s">
        <v>56</v>
      </c>
      <c r="O66" s="0" t="s">
        <v>55</v>
      </c>
      <c r="P66" s="0" t="s">
        <v>44</v>
      </c>
      <c r="Q66" s="0" t="s">
        <v>251</v>
      </c>
      <c r="R66" s="0" t="n">
        <v>10</v>
      </c>
      <c r="S66" s="0" t="s">
        <v>140</v>
      </c>
      <c r="T66" s="0" t="s">
        <v>87</v>
      </c>
      <c r="U66" s="0" t="s">
        <v>55</v>
      </c>
      <c r="V66" s="0" t="s">
        <v>56</v>
      </c>
      <c r="W66" s="0" t="str">
        <f aca="false">IF(B66&lt;&gt;"Yes","Excluded",IF(R66&gt;=9,"Promoter",IF(R66&gt;=7,"Passive","Detractor")))</f>
        <v>Promoter</v>
      </c>
    </row>
    <row r="67" customFormat="false" ht="15" hidden="false" customHeight="false" outlineLevel="0" collapsed="false">
      <c r="A67" s="0" t="s">
        <v>252</v>
      </c>
      <c r="B67" s="0" t="s">
        <v>44</v>
      </c>
      <c r="C67" s="0" t="s">
        <v>45</v>
      </c>
      <c r="D67" s="0" t="s">
        <v>90</v>
      </c>
      <c r="E67" s="0" t="s">
        <v>64</v>
      </c>
      <c r="F67" s="0" t="s">
        <v>48</v>
      </c>
      <c r="G67" s="0" t="s">
        <v>253</v>
      </c>
      <c r="H67" s="0" t="s">
        <v>67</v>
      </c>
      <c r="I67" s="0" t="s">
        <v>51</v>
      </c>
      <c r="J67" s="0" t="s">
        <v>68</v>
      </c>
      <c r="K67" s="0" t="s">
        <v>53</v>
      </c>
      <c r="L67" s="0" t="s">
        <v>103</v>
      </c>
      <c r="M67" s="0" t="s">
        <v>44</v>
      </c>
      <c r="N67" s="0" t="s">
        <v>119</v>
      </c>
      <c r="O67" s="0" t="s">
        <v>44</v>
      </c>
      <c r="P67" s="0" t="s">
        <v>44</v>
      </c>
      <c r="Q67" s="0" t="s">
        <v>57</v>
      </c>
      <c r="R67" s="0" t="n">
        <v>10</v>
      </c>
      <c r="S67" s="0" t="s">
        <v>140</v>
      </c>
      <c r="T67" s="0" t="s">
        <v>106</v>
      </c>
      <c r="U67" s="0" t="s">
        <v>55</v>
      </c>
      <c r="V67" s="0" t="s">
        <v>56</v>
      </c>
      <c r="W67" s="0" t="str">
        <f aca="false">IF(B67&lt;&gt;"Yes","Excluded",IF(R67&gt;=9,"Promoter",IF(R67&gt;=7,"Passive","Detractor")))</f>
        <v>Promoter</v>
      </c>
    </row>
    <row r="68" customFormat="false" ht="15" hidden="false" customHeight="false" outlineLevel="0" collapsed="false">
      <c r="A68" s="0" t="s">
        <v>254</v>
      </c>
      <c r="B68" s="0" t="s">
        <v>44</v>
      </c>
      <c r="C68" s="0" t="s">
        <v>45</v>
      </c>
      <c r="D68" s="0" t="s">
        <v>46</v>
      </c>
      <c r="E68" s="0" t="s">
        <v>80</v>
      </c>
      <c r="F68" s="0" t="s">
        <v>112</v>
      </c>
      <c r="G68" s="0" t="s">
        <v>66</v>
      </c>
      <c r="H68" s="0" t="s">
        <v>82</v>
      </c>
      <c r="I68" s="0" t="s">
        <v>51</v>
      </c>
      <c r="J68" s="0" t="s">
        <v>68</v>
      </c>
      <c r="K68" s="0" t="s">
        <v>53</v>
      </c>
      <c r="L68" s="0" t="s">
        <v>70</v>
      </c>
      <c r="M68" s="0" t="s">
        <v>55</v>
      </c>
      <c r="N68" s="0" t="s">
        <v>56</v>
      </c>
      <c r="O68" s="0" t="s">
        <v>55</v>
      </c>
      <c r="P68" s="0" t="s">
        <v>44</v>
      </c>
      <c r="Q68" s="0" t="s">
        <v>109</v>
      </c>
      <c r="R68" s="0" t="n">
        <v>9</v>
      </c>
      <c r="S68" s="0" t="s">
        <v>140</v>
      </c>
      <c r="T68" s="0" t="s">
        <v>110</v>
      </c>
      <c r="U68" s="0" t="s">
        <v>55</v>
      </c>
      <c r="V68" s="0" t="s">
        <v>56</v>
      </c>
      <c r="W68" s="0" t="str">
        <f aca="false">IF(B68&lt;&gt;"Yes","Excluded",IF(R68&gt;=9,"Promoter",IF(R68&gt;=7,"Passive","Detractor")))</f>
        <v>Promoter</v>
      </c>
    </row>
    <row r="69" customFormat="false" ht="15" hidden="false" customHeight="false" outlineLevel="0" collapsed="false">
      <c r="A69" s="0" t="s">
        <v>255</v>
      </c>
      <c r="B69" s="0" t="s">
        <v>44</v>
      </c>
      <c r="C69" s="0" t="s">
        <v>45</v>
      </c>
      <c r="D69" s="0" t="s">
        <v>46</v>
      </c>
      <c r="E69" s="0" t="s">
        <v>227</v>
      </c>
      <c r="F69" s="0" t="s">
        <v>48</v>
      </c>
      <c r="G69" s="0" t="s">
        <v>256</v>
      </c>
      <c r="H69" s="0" t="s">
        <v>67</v>
      </c>
      <c r="I69" s="0" t="s">
        <v>51</v>
      </c>
      <c r="J69" s="0" t="s">
        <v>52</v>
      </c>
      <c r="K69" s="0" t="s">
        <v>53</v>
      </c>
      <c r="L69" s="0" t="s">
        <v>70</v>
      </c>
      <c r="M69" s="0" t="s">
        <v>55</v>
      </c>
      <c r="N69" s="0" t="s">
        <v>56</v>
      </c>
      <c r="O69" s="0" t="s">
        <v>55</v>
      </c>
      <c r="P69" s="0" t="s">
        <v>44</v>
      </c>
      <c r="Q69" s="0" t="s">
        <v>85</v>
      </c>
      <c r="R69" s="0" t="n">
        <v>9</v>
      </c>
      <c r="S69" s="0" t="s">
        <v>140</v>
      </c>
      <c r="T69" s="0" t="s">
        <v>172</v>
      </c>
      <c r="U69" s="0" t="s">
        <v>55</v>
      </c>
      <c r="V69" s="0" t="s">
        <v>56</v>
      </c>
      <c r="W69" s="0" t="str">
        <f aca="false">IF(B69&lt;&gt;"Yes","Excluded",IF(R69&gt;=9,"Promoter",IF(R69&gt;=7,"Passive","Detractor")))</f>
        <v>Promoter</v>
      </c>
    </row>
    <row r="70" customFormat="false" ht="15" hidden="false" customHeight="false" outlineLevel="0" collapsed="false">
      <c r="A70" s="0" t="s">
        <v>257</v>
      </c>
      <c r="B70" s="0" t="s">
        <v>44</v>
      </c>
      <c r="C70" s="0" t="s">
        <v>133</v>
      </c>
      <c r="D70" s="0" t="s">
        <v>90</v>
      </c>
      <c r="E70" s="0" t="s">
        <v>127</v>
      </c>
      <c r="F70" s="0" t="s">
        <v>65</v>
      </c>
      <c r="G70" s="0" t="s">
        <v>113</v>
      </c>
      <c r="H70" s="0" t="s">
        <v>138</v>
      </c>
      <c r="I70" s="0" t="s">
        <v>83</v>
      </c>
      <c r="J70" s="0" t="s">
        <v>167</v>
      </c>
      <c r="K70" s="0" t="s">
        <v>84</v>
      </c>
      <c r="L70" s="0" t="s">
        <v>54</v>
      </c>
      <c r="M70" s="0" t="s">
        <v>55</v>
      </c>
      <c r="N70" s="0" t="s">
        <v>56</v>
      </c>
      <c r="O70" s="0" t="s">
        <v>55</v>
      </c>
      <c r="P70" s="0" t="s">
        <v>44</v>
      </c>
      <c r="Q70" s="0" t="s">
        <v>130</v>
      </c>
      <c r="R70" s="0" t="n">
        <v>9</v>
      </c>
      <c r="S70" s="0" t="s">
        <v>58</v>
      </c>
      <c r="T70" s="0" t="s">
        <v>182</v>
      </c>
      <c r="U70" s="0" t="s">
        <v>55</v>
      </c>
      <c r="V70" s="0" t="s">
        <v>56</v>
      </c>
      <c r="W70" s="0" t="str">
        <f aca="false">IF(B70&lt;&gt;"Yes","Excluded",IF(R70&gt;=9,"Promoter",IF(R70&gt;=7,"Passive","Detractor")))</f>
        <v>Promoter</v>
      </c>
    </row>
    <row r="71" customFormat="false" ht="15" hidden="false" customHeight="false" outlineLevel="0" collapsed="false">
      <c r="A71" s="0" t="s">
        <v>258</v>
      </c>
      <c r="B71" s="0" t="s">
        <v>44</v>
      </c>
      <c r="C71" s="0" t="s">
        <v>45</v>
      </c>
      <c r="D71" s="0" t="s">
        <v>46</v>
      </c>
      <c r="E71" s="0" t="s">
        <v>91</v>
      </c>
      <c r="F71" s="0" t="s">
        <v>48</v>
      </c>
      <c r="G71" s="0" t="s">
        <v>93</v>
      </c>
      <c r="H71" s="0" t="s">
        <v>94</v>
      </c>
      <c r="I71" s="0" t="s">
        <v>51</v>
      </c>
      <c r="J71" s="0" t="s">
        <v>52</v>
      </c>
      <c r="K71" s="0" t="s">
        <v>84</v>
      </c>
      <c r="L71" s="0" t="s">
        <v>54</v>
      </c>
      <c r="M71" s="0" t="s">
        <v>55</v>
      </c>
      <c r="N71" s="0" t="s">
        <v>56</v>
      </c>
      <c r="O71" s="0" t="s">
        <v>55</v>
      </c>
      <c r="P71" s="0" t="s">
        <v>72</v>
      </c>
      <c r="Q71" s="0" t="s">
        <v>109</v>
      </c>
      <c r="R71" s="0" t="n">
        <v>9</v>
      </c>
      <c r="S71" s="0" t="s">
        <v>150</v>
      </c>
      <c r="T71" s="0" t="s">
        <v>182</v>
      </c>
      <c r="U71" s="0" t="s">
        <v>55</v>
      </c>
      <c r="V71" s="0" t="s">
        <v>56</v>
      </c>
      <c r="W71" s="0" t="str">
        <f aca="false">IF(B71&lt;&gt;"Yes","Excluded",IF(R71&gt;=9,"Promoter",IF(R71&gt;=7,"Passive","Detractor")))</f>
        <v>Promoter</v>
      </c>
    </row>
    <row r="72" customFormat="false" ht="15" hidden="false" customHeight="false" outlineLevel="0" collapsed="false">
      <c r="A72" s="0" t="s">
        <v>259</v>
      </c>
      <c r="B72" s="0" t="s">
        <v>44</v>
      </c>
      <c r="C72" s="0" t="s">
        <v>45</v>
      </c>
      <c r="D72" s="0" t="s">
        <v>46</v>
      </c>
      <c r="E72" s="0" t="s">
        <v>227</v>
      </c>
      <c r="F72" s="0" t="s">
        <v>48</v>
      </c>
      <c r="G72" s="0" t="s">
        <v>250</v>
      </c>
      <c r="H72" s="0" t="s">
        <v>82</v>
      </c>
      <c r="I72" s="0" t="s">
        <v>102</v>
      </c>
      <c r="J72" s="0" t="s">
        <v>114</v>
      </c>
      <c r="K72" s="0" t="s">
        <v>53</v>
      </c>
      <c r="L72" s="0" t="s">
        <v>103</v>
      </c>
      <c r="M72" s="0" t="s">
        <v>44</v>
      </c>
      <c r="N72" s="0" t="s">
        <v>134</v>
      </c>
      <c r="O72" s="0" t="s">
        <v>55</v>
      </c>
      <c r="P72" s="0" t="s">
        <v>44</v>
      </c>
      <c r="Q72" s="0" t="s">
        <v>260</v>
      </c>
      <c r="R72" s="0" t="n">
        <v>6</v>
      </c>
      <c r="S72" s="0" t="s">
        <v>136</v>
      </c>
      <c r="T72" s="0" t="s">
        <v>141</v>
      </c>
      <c r="U72" s="0" t="s">
        <v>76</v>
      </c>
      <c r="V72" s="0" t="s">
        <v>142</v>
      </c>
      <c r="W72" s="0" t="str">
        <f aca="false">IF(B72&lt;&gt;"Yes","Excluded",IF(R72&gt;=9,"Promoter",IF(R72&gt;=7,"Passive","Detractor")))</f>
        <v>Detractor</v>
      </c>
    </row>
    <row r="73" customFormat="false" ht="15" hidden="false" customHeight="false" outlineLevel="0" collapsed="false">
      <c r="A73" s="0" t="s">
        <v>261</v>
      </c>
      <c r="B73" s="0" t="s">
        <v>44</v>
      </c>
      <c r="C73" s="0" t="s">
        <v>45</v>
      </c>
      <c r="D73" s="0" t="s">
        <v>90</v>
      </c>
      <c r="E73" s="0" t="s">
        <v>64</v>
      </c>
      <c r="F73" s="0" t="s">
        <v>48</v>
      </c>
      <c r="G73" s="0" t="s">
        <v>81</v>
      </c>
      <c r="H73" s="0" t="s">
        <v>50</v>
      </c>
      <c r="I73" s="0" t="s">
        <v>102</v>
      </c>
      <c r="J73" s="0" t="s">
        <v>52</v>
      </c>
      <c r="K73" s="0" t="s">
        <v>84</v>
      </c>
      <c r="L73" s="0" t="s">
        <v>103</v>
      </c>
      <c r="M73" s="0" t="s">
        <v>55</v>
      </c>
      <c r="N73" s="0" t="s">
        <v>56</v>
      </c>
      <c r="O73" s="0" t="s">
        <v>55</v>
      </c>
      <c r="P73" s="0" t="s">
        <v>44</v>
      </c>
      <c r="Q73" s="0" t="s">
        <v>145</v>
      </c>
      <c r="R73" s="0" t="n">
        <v>10</v>
      </c>
      <c r="S73" s="0" t="s">
        <v>98</v>
      </c>
      <c r="T73" s="0" t="s">
        <v>99</v>
      </c>
      <c r="U73" s="0" t="s">
        <v>76</v>
      </c>
      <c r="V73" s="0" t="s">
        <v>77</v>
      </c>
      <c r="W73" s="0" t="str">
        <f aca="false">IF(B73&lt;&gt;"Yes","Excluded",IF(R73&gt;=9,"Promoter",IF(R73&gt;=7,"Passive","Detractor")))</f>
        <v>Promoter</v>
      </c>
    </row>
    <row r="74" customFormat="false" ht="15" hidden="false" customHeight="false" outlineLevel="0" collapsed="false">
      <c r="A74" s="0" t="s">
        <v>262</v>
      </c>
      <c r="B74" s="0" t="s">
        <v>44</v>
      </c>
      <c r="C74" s="0" t="s">
        <v>89</v>
      </c>
      <c r="D74" s="0" t="s">
        <v>90</v>
      </c>
      <c r="E74" s="0" t="s">
        <v>80</v>
      </c>
      <c r="F74" s="0" t="s">
        <v>92</v>
      </c>
      <c r="G74" s="0" t="s">
        <v>113</v>
      </c>
      <c r="H74" s="0" t="s">
        <v>67</v>
      </c>
      <c r="I74" s="0" t="s">
        <v>95</v>
      </c>
      <c r="J74" s="0" t="s">
        <v>96</v>
      </c>
      <c r="K74" s="0" t="s">
        <v>53</v>
      </c>
      <c r="L74" s="0" t="s">
        <v>54</v>
      </c>
      <c r="M74" s="0" t="s">
        <v>44</v>
      </c>
      <c r="N74" s="0" t="s">
        <v>134</v>
      </c>
      <c r="O74" s="0" t="s">
        <v>55</v>
      </c>
      <c r="P74" s="0" t="s">
        <v>44</v>
      </c>
      <c r="Q74" s="0" t="s">
        <v>145</v>
      </c>
      <c r="R74" s="0" t="n">
        <v>3</v>
      </c>
      <c r="S74" s="0" t="s">
        <v>224</v>
      </c>
      <c r="T74" s="0" t="s">
        <v>182</v>
      </c>
      <c r="U74" s="0" t="s">
        <v>55</v>
      </c>
      <c r="V74" s="0" t="s">
        <v>56</v>
      </c>
      <c r="W74" s="0" t="str">
        <f aca="false">IF(B74&lt;&gt;"Yes","Excluded",IF(R74&gt;=9,"Promoter",IF(R74&gt;=7,"Passive","Detractor")))</f>
        <v>Detractor</v>
      </c>
    </row>
    <row r="75" customFormat="false" ht="15" hidden="false" customHeight="false" outlineLevel="0" collapsed="false">
      <c r="A75" s="0" t="s">
        <v>263</v>
      </c>
      <c r="B75" s="0" t="s">
        <v>55</v>
      </c>
      <c r="C75" s="0" t="s">
        <v>79</v>
      </c>
      <c r="D75" s="0" t="s">
        <v>46</v>
      </c>
      <c r="E75" s="0" t="s">
        <v>127</v>
      </c>
      <c r="F75" s="0" t="s">
        <v>65</v>
      </c>
      <c r="G75" s="0" t="s">
        <v>56</v>
      </c>
      <c r="H75" s="0" t="s">
        <v>56</v>
      </c>
      <c r="I75" s="0" t="s">
        <v>56</v>
      </c>
      <c r="J75" s="0" t="s">
        <v>56</v>
      </c>
      <c r="K75" s="0" t="s">
        <v>56</v>
      </c>
      <c r="L75" s="0" t="s">
        <v>56</v>
      </c>
      <c r="M75" s="0" t="s">
        <v>55</v>
      </c>
      <c r="N75" s="0" t="s">
        <v>56</v>
      </c>
      <c r="O75" s="0" t="s">
        <v>55</v>
      </c>
      <c r="P75" s="0" t="s">
        <v>72</v>
      </c>
      <c r="Q75" s="0" t="s">
        <v>148</v>
      </c>
      <c r="R75" s="0" t="n">
        <v>1</v>
      </c>
      <c r="S75" s="0" t="s">
        <v>214</v>
      </c>
      <c r="T75" s="0" t="s">
        <v>215</v>
      </c>
      <c r="U75" s="0" t="s">
        <v>76</v>
      </c>
      <c r="V75" s="0" t="s">
        <v>56</v>
      </c>
      <c r="W75" s="0" t="str">
        <f aca="false">IF(B75&lt;&gt;"Yes","Excluded",IF(R75&gt;=9,"Promoter",IF(R75&gt;=7,"Passive","Detractor")))</f>
        <v>Excluded</v>
      </c>
    </row>
    <row r="76" customFormat="false" ht="15" hidden="false" customHeight="false" outlineLevel="0" collapsed="false">
      <c r="A76" s="0" t="s">
        <v>264</v>
      </c>
      <c r="B76" s="0" t="s">
        <v>44</v>
      </c>
      <c r="C76" s="0" t="s">
        <v>79</v>
      </c>
      <c r="D76" s="0" t="s">
        <v>46</v>
      </c>
      <c r="E76" s="0" t="s">
        <v>91</v>
      </c>
      <c r="F76" s="0" t="s">
        <v>65</v>
      </c>
      <c r="G76" s="0" t="s">
        <v>174</v>
      </c>
      <c r="H76" s="0" t="s">
        <v>102</v>
      </c>
      <c r="I76" s="0" t="s">
        <v>51</v>
      </c>
      <c r="J76" s="0" t="s">
        <v>52</v>
      </c>
      <c r="K76" s="0" t="s">
        <v>69</v>
      </c>
      <c r="L76" s="0" t="s">
        <v>103</v>
      </c>
      <c r="M76" s="0" t="s">
        <v>55</v>
      </c>
      <c r="N76" s="0" t="s">
        <v>56</v>
      </c>
      <c r="O76" s="0" t="s">
        <v>44</v>
      </c>
      <c r="P76" s="0" t="s">
        <v>44</v>
      </c>
      <c r="Q76" s="0" t="s">
        <v>265</v>
      </c>
      <c r="R76" s="0" t="n">
        <v>8</v>
      </c>
      <c r="S76" s="0" t="s">
        <v>159</v>
      </c>
      <c r="T76" s="0" t="s">
        <v>106</v>
      </c>
      <c r="U76" s="0" t="s">
        <v>60</v>
      </c>
      <c r="V76" s="0" t="s">
        <v>107</v>
      </c>
      <c r="W76" s="0" t="str">
        <f aca="false">IF(B76&lt;&gt;"Yes","Excluded",IF(R76&gt;=9,"Promoter",IF(R76&gt;=7,"Passive","Detractor")))</f>
        <v>Passive</v>
      </c>
    </row>
    <row r="77" customFormat="false" ht="15" hidden="false" customHeight="false" outlineLevel="0" collapsed="false">
      <c r="A77" s="0" t="s">
        <v>266</v>
      </c>
      <c r="B77" s="0" t="s">
        <v>44</v>
      </c>
      <c r="C77" s="0" t="s">
        <v>133</v>
      </c>
      <c r="D77" s="0" t="s">
        <v>90</v>
      </c>
      <c r="E77" s="0" t="s">
        <v>127</v>
      </c>
      <c r="F77" s="0" t="s">
        <v>117</v>
      </c>
      <c r="G77" s="0" t="s">
        <v>49</v>
      </c>
      <c r="H77" s="0" t="s">
        <v>67</v>
      </c>
      <c r="I77" s="0" t="s">
        <v>51</v>
      </c>
      <c r="J77" s="0" t="s">
        <v>96</v>
      </c>
      <c r="K77" s="0" t="s">
        <v>53</v>
      </c>
      <c r="L77" s="0" t="s">
        <v>103</v>
      </c>
      <c r="M77" s="0" t="s">
        <v>55</v>
      </c>
      <c r="N77" s="0" t="s">
        <v>56</v>
      </c>
      <c r="O77" s="0" t="s">
        <v>55</v>
      </c>
      <c r="P77" s="0" t="s">
        <v>44</v>
      </c>
      <c r="Q77" s="0" t="s">
        <v>57</v>
      </c>
      <c r="R77" s="0" t="n">
        <v>8</v>
      </c>
      <c r="S77" s="0" t="s">
        <v>121</v>
      </c>
      <c r="T77" s="0" t="s">
        <v>172</v>
      </c>
      <c r="U77" s="0" t="s">
        <v>76</v>
      </c>
      <c r="V77" s="0" t="s">
        <v>61</v>
      </c>
      <c r="W77" s="0" t="str">
        <f aca="false">IF(B77&lt;&gt;"Yes","Excluded",IF(R77&gt;=9,"Promoter",IF(R77&gt;=7,"Passive","Detractor")))</f>
        <v>Passive</v>
      </c>
    </row>
    <row r="78" customFormat="false" ht="15" hidden="false" customHeight="false" outlineLevel="0" collapsed="false">
      <c r="A78" s="0" t="s">
        <v>267</v>
      </c>
      <c r="B78" s="0" t="s">
        <v>44</v>
      </c>
      <c r="C78" s="0" t="s">
        <v>45</v>
      </c>
      <c r="D78" s="0" t="s">
        <v>90</v>
      </c>
      <c r="E78" s="0" t="s">
        <v>47</v>
      </c>
      <c r="F78" s="0" t="s">
        <v>48</v>
      </c>
      <c r="G78" s="0" t="s">
        <v>268</v>
      </c>
      <c r="H78" s="0" t="s">
        <v>129</v>
      </c>
      <c r="I78" s="0" t="s">
        <v>144</v>
      </c>
      <c r="J78" s="0" t="s">
        <v>52</v>
      </c>
      <c r="K78" s="0" t="s">
        <v>84</v>
      </c>
      <c r="L78" s="0" t="s">
        <v>70</v>
      </c>
      <c r="M78" s="0" t="s">
        <v>44</v>
      </c>
      <c r="N78" s="0" t="s">
        <v>134</v>
      </c>
      <c r="O78" s="0" t="s">
        <v>55</v>
      </c>
      <c r="P78" s="0" t="s">
        <v>72</v>
      </c>
      <c r="Q78" s="0" t="s">
        <v>207</v>
      </c>
      <c r="R78" s="0" t="n">
        <v>9</v>
      </c>
      <c r="S78" s="0" t="s">
        <v>98</v>
      </c>
      <c r="T78" s="0" t="s">
        <v>182</v>
      </c>
      <c r="U78" s="0" t="s">
        <v>55</v>
      </c>
      <c r="V78" s="0" t="s">
        <v>56</v>
      </c>
      <c r="W78" s="0" t="str">
        <f aca="false">IF(B78&lt;&gt;"Yes","Excluded",IF(R78&gt;=9,"Promoter",IF(R78&gt;=7,"Passive","Detractor")))</f>
        <v>Promoter</v>
      </c>
    </row>
    <row r="79" customFormat="false" ht="15" hidden="false" customHeight="false" outlineLevel="0" collapsed="false">
      <c r="A79" s="0" t="s">
        <v>269</v>
      </c>
      <c r="B79" s="0" t="s">
        <v>44</v>
      </c>
      <c r="C79" s="0" t="s">
        <v>45</v>
      </c>
      <c r="D79" s="0" t="s">
        <v>46</v>
      </c>
      <c r="E79" s="0" t="s">
        <v>47</v>
      </c>
      <c r="F79" s="0" t="s">
        <v>65</v>
      </c>
      <c r="G79" s="0" t="s">
        <v>270</v>
      </c>
      <c r="H79" s="0" t="s">
        <v>67</v>
      </c>
      <c r="I79" s="0" t="s">
        <v>95</v>
      </c>
      <c r="J79" s="0" t="s">
        <v>52</v>
      </c>
      <c r="K79" s="0" t="s">
        <v>84</v>
      </c>
      <c r="L79" s="0" t="s">
        <v>54</v>
      </c>
      <c r="M79" s="0" t="s">
        <v>55</v>
      </c>
      <c r="N79" s="0" t="s">
        <v>56</v>
      </c>
      <c r="O79" s="0" t="s">
        <v>55</v>
      </c>
      <c r="P79" s="0" t="s">
        <v>72</v>
      </c>
      <c r="Q79" s="0" t="s">
        <v>109</v>
      </c>
      <c r="R79" s="0" t="n">
        <v>3</v>
      </c>
      <c r="S79" s="0" t="s">
        <v>176</v>
      </c>
      <c r="T79" s="0" t="s">
        <v>141</v>
      </c>
      <c r="U79" s="0" t="s">
        <v>76</v>
      </c>
      <c r="V79" s="0" t="s">
        <v>61</v>
      </c>
      <c r="W79" s="0" t="str">
        <f aca="false">IF(B79&lt;&gt;"Yes","Excluded",IF(R79&gt;=9,"Promoter",IF(R79&gt;=7,"Passive","Detractor")))</f>
        <v>Detractor</v>
      </c>
    </row>
    <row r="80" customFormat="false" ht="15" hidden="false" customHeight="false" outlineLevel="0" collapsed="false">
      <c r="A80" s="0" t="s">
        <v>271</v>
      </c>
      <c r="B80" s="0" t="s">
        <v>44</v>
      </c>
      <c r="C80" s="0" t="s">
        <v>45</v>
      </c>
      <c r="D80" s="0" t="s">
        <v>90</v>
      </c>
      <c r="E80" s="0" t="s">
        <v>127</v>
      </c>
      <c r="F80" s="0" t="s">
        <v>48</v>
      </c>
      <c r="G80" s="0" t="s">
        <v>242</v>
      </c>
      <c r="H80" s="0" t="s">
        <v>138</v>
      </c>
      <c r="I80" s="0" t="s">
        <v>123</v>
      </c>
      <c r="J80" s="0" t="s">
        <v>52</v>
      </c>
      <c r="K80" s="0" t="s">
        <v>53</v>
      </c>
      <c r="L80" s="0" t="s">
        <v>70</v>
      </c>
      <c r="M80" s="0" t="s">
        <v>55</v>
      </c>
      <c r="N80" s="0" t="s">
        <v>56</v>
      </c>
      <c r="O80" s="0" t="s">
        <v>55</v>
      </c>
      <c r="P80" s="0" t="s">
        <v>44</v>
      </c>
      <c r="Q80" s="0" t="s">
        <v>130</v>
      </c>
      <c r="R80" s="0" t="n">
        <v>10</v>
      </c>
      <c r="S80" s="0" t="s">
        <v>98</v>
      </c>
      <c r="T80" s="0" t="s">
        <v>110</v>
      </c>
      <c r="U80" s="0" t="s">
        <v>55</v>
      </c>
      <c r="V80" s="0" t="s">
        <v>56</v>
      </c>
      <c r="W80" s="0" t="str">
        <f aca="false">IF(B80&lt;&gt;"Yes","Excluded",IF(R80&gt;=9,"Promoter",IF(R80&gt;=7,"Passive","Detractor")))</f>
        <v>Promoter</v>
      </c>
    </row>
    <row r="81" customFormat="false" ht="15" hidden="false" customHeight="false" outlineLevel="0" collapsed="false">
      <c r="A81" s="0" t="s">
        <v>272</v>
      </c>
      <c r="B81" s="0" t="s">
        <v>44</v>
      </c>
      <c r="C81" s="0" t="s">
        <v>133</v>
      </c>
      <c r="D81" s="0" t="s">
        <v>90</v>
      </c>
      <c r="E81" s="0" t="s">
        <v>91</v>
      </c>
      <c r="F81" s="0" t="s">
        <v>65</v>
      </c>
      <c r="G81" s="0" t="s">
        <v>81</v>
      </c>
      <c r="H81" s="0" t="s">
        <v>138</v>
      </c>
      <c r="I81" s="0" t="s">
        <v>123</v>
      </c>
      <c r="J81" s="0" t="s">
        <v>96</v>
      </c>
      <c r="K81" s="0" t="s">
        <v>53</v>
      </c>
      <c r="L81" s="0" t="s">
        <v>70</v>
      </c>
      <c r="M81" s="0" t="s">
        <v>55</v>
      </c>
      <c r="N81" s="0" t="s">
        <v>56</v>
      </c>
      <c r="O81" s="0" t="s">
        <v>55</v>
      </c>
      <c r="P81" s="0" t="s">
        <v>44</v>
      </c>
      <c r="Q81" s="0" t="s">
        <v>148</v>
      </c>
      <c r="R81" s="0" t="n">
        <v>4</v>
      </c>
      <c r="S81" s="0" t="s">
        <v>220</v>
      </c>
      <c r="T81" s="0" t="s">
        <v>106</v>
      </c>
      <c r="U81" s="0" t="s">
        <v>55</v>
      </c>
      <c r="V81" s="0" t="s">
        <v>56</v>
      </c>
      <c r="W81" s="0" t="str">
        <f aca="false">IF(B81&lt;&gt;"Yes","Excluded",IF(R81&gt;=9,"Promoter",IF(R81&gt;=7,"Passive","Detractor")))</f>
        <v>Detractor</v>
      </c>
    </row>
    <row r="82" customFormat="false" ht="15" hidden="false" customHeight="false" outlineLevel="0" collapsed="false">
      <c r="A82" s="0" t="s">
        <v>273</v>
      </c>
      <c r="B82" s="0" t="s">
        <v>44</v>
      </c>
      <c r="C82" s="0" t="s">
        <v>45</v>
      </c>
      <c r="D82" s="0" t="s">
        <v>90</v>
      </c>
      <c r="E82" s="0" t="s">
        <v>91</v>
      </c>
      <c r="F82" s="0" t="s">
        <v>48</v>
      </c>
      <c r="G82" s="0" t="s">
        <v>101</v>
      </c>
      <c r="H82" s="0" t="s">
        <v>138</v>
      </c>
      <c r="I82" s="0" t="s">
        <v>51</v>
      </c>
      <c r="J82" s="0" t="s">
        <v>114</v>
      </c>
      <c r="K82" s="0" t="s">
        <v>53</v>
      </c>
      <c r="L82" s="0" t="s">
        <v>54</v>
      </c>
      <c r="M82" s="0" t="s">
        <v>44</v>
      </c>
      <c r="N82" s="0" t="s">
        <v>134</v>
      </c>
      <c r="O82" s="0" t="s">
        <v>55</v>
      </c>
      <c r="P82" s="0" t="s">
        <v>72</v>
      </c>
      <c r="Q82" s="0" t="s">
        <v>204</v>
      </c>
      <c r="R82" s="0" t="n">
        <v>10</v>
      </c>
      <c r="S82" s="0" t="s">
        <v>98</v>
      </c>
      <c r="T82" s="0" t="s">
        <v>106</v>
      </c>
      <c r="U82" s="0" t="s">
        <v>76</v>
      </c>
      <c r="V82" s="0" t="s">
        <v>107</v>
      </c>
      <c r="W82" s="0" t="str">
        <f aca="false">IF(B82&lt;&gt;"Yes","Excluded",IF(R82&gt;=9,"Promoter",IF(R82&gt;=7,"Passive","Detractor")))</f>
        <v>Promoter</v>
      </c>
    </row>
    <row r="83" customFormat="false" ht="15" hidden="false" customHeight="false" outlineLevel="0" collapsed="false">
      <c r="A83" s="0" t="s">
        <v>274</v>
      </c>
      <c r="B83" s="0" t="s">
        <v>44</v>
      </c>
      <c r="C83" s="0" t="s">
        <v>63</v>
      </c>
      <c r="D83" s="0" t="s">
        <v>46</v>
      </c>
      <c r="E83" s="0" t="s">
        <v>64</v>
      </c>
      <c r="F83" s="0" t="s">
        <v>65</v>
      </c>
      <c r="G83" s="0" t="s">
        <v>49</v>
      </c>
      <c r="H83" s="0" t="s">
        <v>67</v>
      </c>
      <c r="I83" s="0" t="s">
        <v>95</v>
      </c>
      <c r="J83" s="0" t="s">
        <v>52</v>
      </c>
      <c r="K83" s="0" t="s">
        <v>69</v>
      </c>
      <c r="L83" s="0" t="s">
        <v>103</v>
      </c>
      <c r="M83" s="0" t="s">
        <v>44</v>
      </c>
      <c r="N83" s="0" t="s">
        <v>119</v>
      </c>
      <c r="O83" s="0" t="s">
        <v>44</v>
      </c>
      <c r="P83" s="0" t="s">
        <v>55</v>
      </c>
      <c r="Q83" s="0" t="s">
        <v>109</v>
      </c>
      <c r="R83" s="0" t="n">
        <v>7</v>
      </c>
      <c r="S83" s="0" t="s">
        <v>159</v>
      </c>
      <c r="T83" s="0" t="s">
        <v>87</v>
      </c>
      <c r="U83" s="0" t="s">
        <v>76</v>
      </c>
      <c r="V83" s="0" t="s">
        <v>142</v>
      </c>
      <c r="W83" s="0" t="str">
        <f aca="false">IF(B83&lt;&gt;"Yes","Excluded",IF(R83&gt;=9,"Promoter",IF(R83&gt;=7,"Passive","Detractor")))</f>
        <v>Passive</v>
      </c>
    </row>
    <row r="84" customFormat="false" ht="15" hidden="false" customHeight="false" outlineLevel="0" collapsed="false">
      <c r="A84" s="0" t="s">
        <v>275</v>
      </c>
      <c r="B84" s="0" t="s">
        <v>44</v>
      </c>
      <c r="C84" s="0" t="s">
        <v>63</v>
      </c>
      <c r="D84" s="0" t="s">
        <v>46</v>
      </c>
      <c r="E84" s="0" t="s">
        <v>91</v>
      </c>
      <c r="F84" s="0" t="s">
        <v>65</v>
      </c>
      <c r="G84" s="0" t="s">
        <v>81</v>
      </c>
      <c r="H84" s="0" t="s">
        <v>138</v>
      </c>
      <c r="I84" s="0" t="s">
        <v>51</v>
      </c>
      <c r="J84" s="0" t="s">
        <v>96</v>
      </c>
      <c r="K84" s="0" t="s">
        <v>84</v>
      </c>
      <c r="L84" s="0" t="s">
        <v>103</v>
      </c>
      <c r="M84" s="0" t="s">
        <v>44</v>
      </c>
      <c r="N84" s="0" t="s">
        <v>175</v>
      </c>
      <c r="O84" s="0" t="s">
        <v>55</v>
      </c>
      <c r="P84" s="0" t="s">
        <v>55</v>
      </c>
      <c r="Q84" s="0" t="s">
        <v>85</v>
      </c>
      <c r="R84" s="0" t="n">
        <v>10</v>
      </c>
      <c r="S84" s="0" t="s">
        <v>150</v>
      </c>
      <c r="T84" s="0" t="s">
        <v>110</v>
      </c>
      <c r="U84" s="0" t="s">
        <v>76</v>
      </c>
      <c r="V84" s="0" t="s">
        <v>61</v>
      </c>
      <c r="W84" s="0" t="str">
        <f aca="false">IF(B84&lt;&gt;"Yes","Excluded",IF(R84&gt;=9,"Promoter",IF(R84&gt;=7,"Passive","Detractor")))</f>
        <v>Promoter</v>
      </c>
    </row>
    <row r="85" customFormat="false" ht="15" hidden="false" customHeight="false" outlineLevel="0" collapsed="false">
      <c r="A85" s="0" t="s">
        <v>276</v>
      </c>
      <c r="B85" s="0" t="s">
        <v>55</v>
      </c>
      <c r="C85" s="0" t="s">
        <v>133</v>
      </c>
      <c r="D85" s="0" t="s">
        <v>90</v>
      </c>
      <c r="E85" s="0" t="s">
        <v>80</v>
      </c>
      <c r="F85" s="0" t="s">
        <v>65</v>
      </c>
      <c r="G85" s="0" t="s">
        <v>56</v>
      </c>
      <c r="H85" s="0" t="s">
        <v>56</v>
      </c>
      <c r="I85" s="0" t="s">
        <v>56</v>
      </c>
      <c r="J85" s="0" t="s">
        <v>56</v>
      </c>
      <c r="K85" s="0" t="s">
        <v>56</v>
      </c>
      <c r="L85" s="0" t="s">
        <v>56</v>
      </c>
      <c r="M85" s="0" t="s">
        <v>55</v>
      </c>
      <c r="N85" s="0" t="s">
        <v>56</v>
      </c>
      <c r="O85" s="0" t="s">
        <v>55</v>
      </c>
      <c r="P85" s="0" t="s">
        <v>72</v>
      </c>
      <c r="Q85" s="0" t="s">
        <v>148</v>
      </c>
      <c r="R85" s="0" t="n">
        <v>3</v>
      </c>
      <c r="S85" s="0" t="s">
        <v>214</v>
      </c>
      <c r="T85" s="0" t="s">
        <v>215</v>
      </c>
      <c r="U85" s="0" t="s">
        <v>55</v>
      </c>
      <c r="V85" s="0" t="s">
        <v>56</v>
      </c>
      <c r="W85" s="0" t="str">
        <f aca="false">IF(B85&lt;&gt;"Yes","Excluded",IF(R85&gt;=9,"Promoter",IF(R85&gt;=7,"Passive","Detractor")))</f>
        <v>Excluded</v>
      </c>
    </row>
    <row r="86" customFormat="false" ht="15" hidden="false" customHeight="false" outlineLevel="0" collapsed="false">
      <c r="A86" s="0" t="s">
        <v>277</v>
      </c>
      <c r="B86" s="0" t="s">
        <v>44</v>
      </c>
      <c r="C86" s="0" t="s">
        <v>79</v>
      </c>
      <c r="D86" s="0" t="s">
        <v>46</v>
      </c>
      <c r="E86" s="0" t="s">
        <v>91</v>
      </c>
      <c r="F86" s="0" t="s">
        <v>65</v>
      </c>
      <c r="G86" s="0" t="s">
        <v>278</v>
      </c>
      <c r="H86" s="0" t="s">
        <v>82</v>
      </c>
      <c r="I86" s="0" t="s">
        <v>51</v>
      </c>
      <c r="J86" s="0" t="s">
        <v>96</v>
      </c>
      <c r="K86" s="0" t="s">
        <v>84</v>
      </c>
      <c r="L86" s="0" t="s">
        <v>54</v>
      </c>
      <c r="M86" s="0" t="s">
        <v>55</v>
      </c>
      <c r="N86" s="0" t="s">
        <v>56</v>
      </c>
      <c r="O86" s="0" t="s">
        <v>55</v>
      </c>
      <c r="P86" s="0" t="s">
        <v>44</v>
      </c>
      <c r="Q86" s="0" t="s">
        <v>145</v>
      </c>
      <c r="R86" s="0" t="n">
        <v>9</v>
      </c>
      <c r="S86" s="0" t="s">
        <v>150</v>
      </c>
      <c r="T86" s="0" t="s">
        <v>131</v>
      </c>
      <c r="U86" s="0" t="s">
        <v>60</v>
      </c>
      <c r="V86" s="0" t="s">
        <v>61</v>
      </c>
      <c r="W86" s="0" t="str">
        <f aca="false">IF(B86&lt;&gt;"Yes","Excluded",IF(R86&gt;=9,"Promoter",IF(R86&gt;=7,"Passive","Detractor")))</f>
        <v>Promoter</v>
      </c>
    </row>
    <row r="87" customFormat="false" ht="15" hidden="false" customHeight="false" outlineLevel="0" collapsed="false">
      <c r="A87" s="0" t="s">
        <v>279</v>
      </c>
      <c r="B87" s="0" t="s">
        <v>44</v>
      </c>
      <c r="C87" s="0" t="s">
        <v>79</v>
      </c>
      <c r="D87" s="0" t="s">
        <v>46</v>
      </c>
      <c r="E87" s="0" t="s">
        <v>80</v>
      </c>
      <c r="F87" s="0" t="s">
        <v>65</v>
      </c>
      <c r="G87" s="0" t="s">
        <v>250</v>
      </c>
      <c r="H87" s="0" t="s">
        <v>94</v>
      </c>
      <c r="I87" s="0" t="s">
        <v>95</v>
      </c>
      <c r="J87" s="0" t="s">
        <v>96</v>
      </c>
      <c r="K87" s="0" t="s">
        <v>84</v>
      </c>
      <c r="L87" s="0" t="s">
        <v>70</v>
      </c>
      <c r="M87" s="0" t="s">
        <v>44</v>
      </c>
      <c r="N87" s="0" t="s">
        <v>71</v>
      </c>
      <c r="O87" s="0" t="s">
        <v>55</v>
      </c>
      <c r="P87" s="0" t="s">
        <v>44</v>
      </c>
      <c r="Q87" s="0" t="s">
        <v>73</v>
      </c>
      <c r="R87" s="0" t="n">
        <v>9</v>
      </c>
      <c r="S87" s="0" t="s">
        <v>140</v>
      </c>
      <c r="T87" s="0" t="s">
        <v>182</v>
      </c>
      <c r="U87" s="0" t="s">
        <v>55</v>
      </c>
      <c r="V87" s="0" t="s">
        <v>56</v>
      </c>
      <c r="W87" s="0" t="str">
        <f aca="false">IF(B87&lt;&gt;"Yes","Excluded",IF(R87&gt;=9,"Promoter",IF(R87&gt;=7,"Passive","Detractor")))</f>
        <v>Promoter</v>
      </c>
    </row>
    <row r="88" customFormat="false" ht="15" hidden="false" customHeight="false" outlineLevel="0" collapsed="false">
      <c r="A88" s="0" t="s">
        <v>280</v>
      </c>
      <c r="B88" s="0" t="s">
        <v>44</v>
      </c>
      <c r="C88" s="0" t="s">
        <v>45</v>
      </c>
      <c r="D88" s="0" t="s">
        <v>90</v>
      </c>
      <c r="E88" s="0" t="s">
        <v>64</v>
      </c>
      <c r="F88" s="0" t="s">
        <v>48</v>
      </c>
      <c r="G88" s="0" t="s">
        <v>66</v>
      </c>
      <c r="H88" s="0" t="s">
        <v>50</v>
      </c>
      <c r="I88" s="0" t="s">
        <v>95</v>
      </c>
      <c r="J88" s="0" t="s">
        <v>68</v>
      </c>
      <c r="K88" s="0" t="s">
        <v>53</v>
      </c>
      <c r="L88" s="0" t="s">
        <v>70</v>
      </c>
      <c r="M88" s="0" t="s">
        <v>44</v>
      </c>
      <c r="N88" s="0" t="s">
        <v>134</v>
      </c>
      <c r="O88" s="0" t="s">
        <v>55</v>
      </c>
      <c r="P88" s="0" t="s">
        <v>72</v>
      </c>
      <c r="Q88" s="0" t="s">
        <v>73</v>
      </c>
      <c r="R88" s="0" t="n">
        <v>8</v>
      </c>
      <c r="S88" s="0" t="s">
        <v>105</v>
      </c>
      <c r="T88" s="0" t="s">
        <v>110</v>
      </c>
      <c r="U88" s="0" t="s">
        <v>55</v>
      </c>
      <c r="V88" s="0" t="s">
        <v>56</v>
      </c>
      <c r="W88" s="0" t="str">
        <f aca="false">IF(B88&lt;&gt;"Yes","Excluded",IF(R88&gt;=9,"Promoter",IF(R88&gt;=7,"Passive","Detractor")))</f>
        <v>Passive</v>
      </c>
    </row>
    <row r="89" customFormat="false" ht="15" hidden="false" customHeight="false" outlineLevel="0" collapsed="false">
      <c r="A89" s="0" t="s">
        <v>281</v>
      </c>
      <c r="B89" s="0" t="s">
        <v>44</v>
      </c>
      <c r="C89" s="0" t="s">
        <v>79</v>
      </c>
      <c r="D89" s="0" t="s">
        <v>46</v>
      </c>
      <c r="E89" s="0" t="s">
        <v>64</v>
      </c>
      <c r="F89" s="0" t="s">
        <v>117</v>
      </c>
      <c r="G89" s="0" t="s">
        <v>152</v>
      </c>
      <c r="H89" s="0" t="s">
        <v>138</v>
      </c>
      <c r="I89" s="0" t="s">
        <v>144</v>
      </c>
      <c r="J89" s="0" t="s">
        <v>52</v>
      </c>
      <c r="K89" s="0" t="s">
        <v>84</v>
      </c>
      <c r="L89" s="0" t="s">
        <v>70</v>
      </c>
      <c r="M89" s="0" t="s">
        <v>44</v>
      </c>
      <c r="N89" s="0" t="s">
        <v>175</v>
      </c>
      <c r="O89" s="0" t="s">
        <v>44</v>
      </c>
      <c r="P89" s="0" t="s">
        <v>72</v>
      </c>
      <c r="Q89" s="0" t="s">
        <v>282</v>
      </c>
      <c r="R89" s="0" t="n">
        <v>5</v>
      </c>
      <c r="S89" s="0" t="s">
        <v>74</v>
      </c>
      <c r="T89" s="0" t="s">
        <v>106</v>
      </c>
      <c r="U89" s="0" t="s">
        <v>76</v>
      </c>
      <c r="V89" s="0" t="s">
        <v>142</v>
      </c>
      <c r="W89" s="0" t="str">
        <f aca="false">IF(B89&lt;&gt;"Yes","Excluded",IF(R89&gt;=9,"Promoter",IF(R89&gt;=7,"Passive","Detractor")))</f>
        <v>Detractor</v>
      </c>
    </row>
    <row r="90" customFormat="false" ht="15" hidden="false" customHeight="false" outlineLevel="0" collapsed="false">
      <c r="A90" s="0" t="s">
        <v>283</v>
      </c>
      <c r="B90" s="0" t="s">
        <v>44</v>
      </c>
      <c r="C90" s="0" t="s">
        <v>63</v>
      </c>
      <c r="D90" s="0" t="s">
        <v>46</v>
      </c>
      <c r="E90" s="0" t="s">
        <v>91</v>
      </c>
      <c r="F90" s="0" t="s">
        <v>117</v>
      </c>
      <c r="G90" s="0" t="s">
        <v>66</v>
      </c>
      <c r="H90" s="0" t="s">
        <v>138</v>
      </c>
      <c r="I90" s="0" t="s">
        <v>51</v>
      </c>
      <c r="J90" s="0" t="s">
        <v>96</v>
      </c>
      <c r="K90" s="0" t="s">
        <v>84</v>
      </c>
      <c r="L90" s="0" t="s">
        <v>103</v>
      </c>
      <c r="M90" s="0" t="s">
        <v>55</v>
      </c>
      <c r="N90" s="0" t="s">
        <v>56</v>
      </c>
      <c r="O90" s="0" t="s">
        <v>55</v>
      </c>
      <c r="P90" s="0" t="s">
        <v>44</v>
      </c>
      <c r="Q90" s="0" t="s">
        <v>115</v>
      </c>
      <c r="R90" s="0" t="n">
        <v>5</v>
      </c>
      <c r="S90" s="0" t="s">
        <v>125</v>
      </c>
      <c r="T90" s="0" t="s">
        <v>172</v>
      </c>
      <c r="U90" s="0" t="s">
        <v>55</v>
      </c>
      <c r="V90" s="0" t="s">
        <v>56</v>
      </c>
      <c r="W90" s="0" t="str">
        <f aca="false">IF(B90&lt;&gt;"Yes","Excluded",IF(R90&gt;=9,"Promoter",IF(R90&gt;=7,"Passive","Detractor")))</f>
        <v>Detractor</v>
      </c>
    </row>
    <row r="91" customFormat="false" ht="15" hidden="false" customHeight="false" outlineLevel="0" collapsed="false">
      <c r="A91" s="0" t="s">
        <v>284</v>
      </c>
      <c r="B91" s="0" t="s">
        <v>44</v>
      </c>
      <c r="C91" s="0" t="s">
        <v>133</v>
      </c>
      <c r="D91" s="0" t="s">
        <v>90</v>
      </c>
      <c r="E91" s="0" t="s">
        <v>127</v>
      </c>
      <c r="F91" s="0" t="s">
        <v>117</v>
      </c>
      <c r="G91" s="0" t="s">
        <v>66</v>
      </c>
      <c r="H91" s="0" t="s">
        <v>67</v>
      </c>
      <c r="I91" s="0" t="s">
        <v>102</v>
      </c>
      <c r="J91" s="0" t="s">
        <v>68</v>
      </c>
      <c r="K91" s="0" t="s">
        <v>53</v>
      </c>
      <c r="L91" s="0" t="s">
        <v>54</v>
      </c>
      <c r="M91" s="0" t="s">
        <v>44</v>
      </c>
      <c r="N91" s="0" t="s">
        <v>119</v>
      </c>
      <c r="O91" s="0" t="s">
        <v>55</v>
      </c>
      <c r="P91" s="0" t="s">
        <v>44</v>
      </c>
      <c r="Q91" s="0" t="s">
        <v>148</v>
      </c>
      <c r="R91" s="0" t="n">
        <v>3</v>
      </c>
      <c r="S91" s="0" t="s">
        <v>224</v>
      </c>
      <c r="T91" s="0" t="s">
        <v>141</v>
      </c>
      <c r="U91" s="0" t="s">
        <v>60</v>
      </c>
      <c r="V91" s="0" t="s">
        <v>77</v>
      </c>
      <c r="W91" s="0" t="str">
        <f aca="false">IF(B91&lt;&gt;"Yes","Excluded",IF(R91&gt;=9,"Promoter",IF(R91&gt;=7,"Passive","Detractor")))</f>
        <v>Detractor</v>
      </c>
    </row>
    <row r="92" customFormat="false" ht="15" hidden="false" customHeight="false" outlineLevel="0" collapsed="false">
      <c r="A92" s="0" t="s">
        <v>285</v>
      </c>
      <c r="B92" s="0" t="s">
        <v>44</v>
      </c>
      <c r="C92" s="0" t="s">
        <v>45</v>
      </c>
      <c r="D92" s="0" t="s">
        <v>90</v>
      </c>
      <c r="E92" s="0" t="s">
        <v>91</v>
      </c>
      <c r="F92" s="0" t="s">
        <v>65</v>
      </c>
      <c r="G92" s="0" t="s">
        <v>113</v>
      </c>
      <c r="H92" s="0" t="s">
        <v>138</v>
      </c>
      <c r="I92" s="0" t="s">
        <v>51</v>
      </c>
      <c r="J92" s="0" t="s">
        <v>114</v>
      </c>
      <c r="K92" s="0" t="s">
        <v>53</v>
      </c>
      <c r="L92" s="0" t="s">
        <v>103</v>
      </c>
      <c r="M92" s="0" t="s">
        <v>55</v>
      </c>
      <c r="N92" s="0" t="s">
        <v>56</v>
      </c>
      <c r="O92" s="0" t="s">
        <v>55</v>
      </c>
      <c r="P92" s="0" t="s">
        <v>72</v>
      </c>
      <c r="Q92" s="0" t="s">
        <v>85</v>
      </c>
      <c r="R92" s="0" t="n">
        <v>9</v>
      </c>
      <c r="S92" s="0" t="s">
        <v>98</v>
      </c>
      <c r="T92" s="0" t="s">
        <v>59</v>
      </c>
      <c r="U92" s="0" t="s">
        <v>60</v>
      </c>
      <c r="V92" s="0" t="s">
        <v>77</v>
      </c>
      <c r="W92" s="0" t="str">
        <f aca="false">IF(B92&lt;&gt;"Yes","Excluded",IF(R92&gt;=9,"Promoter",IF(R92&gt;=7,"Passive","Detractor")))</f>
        <v>Promoter</v>
      </c>
    </row>
    <row r="93" customFormat="false" ht="15" hidden="false" customHeight="false" outlineLevel="0" collapsed="false">
      <c r="A93" s="0" t="s">
        <v>286</v>
      </c>
      <c r="B93" s="0" t="s">
        <v>44</v>
      </c>
      <c r="C93" s="0" t="s">
        <v>45</v>
      </c>
      <c r="D93" s="0" t="s">
        <v>90</v>
      </c>
      <c r="E93" s="0" t="s">
        <v>64</v>
      </c>
      <c r="F93" s="0" t="s">
        <v>48</v>
      </c>
      <c r="G93" s="0" t="s">
        <v>287</v>
      </c>
      <c r="H93" s="0" t="s">
        <v>138</v>
      </c>
      <c r="I93" s="0" t="s">
        <v>95</v>
      </c>
      <c r="J93" s="0" t="s">
        <v>114</v>
      </c>
      <c r="K93" s="0" t="s">
        <v>84</v>
      </c>
      <c r="L93" s="0" t="s">
        <v>70</v>
      </c>
      <c r="M93" s="0" t="s">
        <v>55</v>
      </c>
      <c r="N93" s="0" t="s">
        <v>56</v>
      </c>
      <c r="O93" s="0" t="s">
        <v>55</v>
      </c>
      <c r="P93" s="0" t="s">
        <v>44</v>
      </c>
      <c r="Q93" s="0" t="s">
        <v>73</v>
      </c>
      <c r="R93" s="0" t="n">
        <v>8</v>
      </c>
      <c r="S93" s="0" t="s">
        <v>121</v>
      </c>
      <c r="T93" s="0" t="s">
        <v>75</v>
      </c>
      <c r="U93" s="0" t="s">
        <v>55</v>
      </c>
      <c r="V93" s="0" t="s">
        <v>56</v>
      </c>
      <c r="W93" s="0" t="str">
        <f aca="false">IF(B93&lt;&gt;"Yes","Excluded",IF(R93&gt;=9,"Promoter",IF(R93&gt;=7,"Passive","Detractor")))</f>
        <v>Passive</v>
      </c>
    </row>
    <row r="94" customFormat="false" ht="15" hidden="false" customHeight="false" outlineLevel="0" collapsed="false">
      <c r="A94" s="0" t="s">
        <v>288</v>
      </c>
      <c r="B94" s="0" t="s">
        <v>44</v>
      </c>
      <c r="C94" s="0" t="s">
        <v>133</v>
      </c>
      <c r="D94" s="0" t="s">
        <v>90</v>
      </c>
      <c r="E94" s="0" t="s">
        <v>47</v>
      </c>
      <c r="F94" s="0" t="s">
        <v>65</v>
      </c>
      <c r="G94" s="0" t="s">
        <v>242</v>
      </c>
      <c r="H94" s="0" t="s">
        <v>67</v>
      </c>
      <c r="I94" s="0" t="s">
        <v>123</v>
      </c>
      <c r="J94" s="0" t="s">
        <v>96</v>
      </c>
      <c r="K94" s="0" t="s">
        <v>84</v>
      </c>
      <c r="L94" s="0" t="s">
        <v>103</v>
      </c>
      <c r="M94" s="0" t="s">
        <v>55</v>
      </c>
      <c r="N94" s="0" t="s">
        <v>56</v>
      </c>
      <c r="O94" s="0" t="s">
        <v>44</v>
      </c>
      <c r="P94" s="0" t="s">
        <v>72</v>
      </c>
      <c r="Q94" s="0" t="s">
        <v>73</v>
      </c>
      <c r="R94" s="0" t="n">
        <v>8</v>
      </c>
      <c r="S94" s="0" t="s">
        <v>86</v>
      </c>
      <c r="T94" s="0" t="s">
        <v>141</v>
      </c>
      <c r="U94" s="0" t="s">
        <v>76</v>
      </c>
      <c r="V94" s="0" t="s">
        <v>142</v>
      </c>
      <c r="W94" s="0" t="str">
        <f aca="false">IF(B94&lt;&gt;"Yes","Excluded",IF(R94&gt;=9,"Promoter",IF(R94&gt;=7,"Passive","Detractor")))</f>
        <v>Passive</v>
      </c>
    </row>
    <row r="95" customFormat="false" ht="15" hidden="false" customHeight="false" outlineLevel="0" collapsed="false">
      <c r="A95" s="0" t="s">
        <v>289</v>
      </c>
      <c r="B95" s="0" t="s">
        <v>44</v>
      </c>
      <c r="C95" s="0" t="s">
        <v>133</v>
      </c>
      <c r="D95" s="0" t="s">
        <v>90</v>
      </c>
      <c r="E95" s="0" t="s">
        <v>80</v>
      </c>
      <c r="F95" s="0" t="s">
        <v>65</v>
      </c>
      <c r="G95" s="0" t="s">
        <v>66</v>
      </c>
      <c r="H95" s="0" t="s">
        <v>67</v>
      </c>
      <c r="I95" s="0" t="s">
        <v>51</v>
      </c>
      <c r="J95" s="0" t="s">
        <v>96</v>
      </c>
      <c r="K95" s="0" t="s">
        <v>84</v>
      </c>
      <c r="L95" s="0" t="s">
        <v>103</v>
      </c>
      <c r="M95" s="0" t="s">
        <v>44</v>
      </c>
      <c r="N95" s="0" t="s">
        <v>71</v>
      </c>
      <c r="O95" s="0" t="s">
        <v>55</v>
      </c>
      <c r="P95" s="0" t="s">
        <v>72</v>
      </c>
      <c r="Q95" s="0" t="s">
        <v>124</v>
      </c>
      <c r="R95" s="0" t="n">
        <v>6</v>
      </c>
      <c r="S95" s="0" t="s">
        <v>74</v>
      </c>
      <c r="T95" s="0" t="s">
        <v>99</v>
      </c>
      <c r="U95" s="0" t="s">
        <v>55</v>
      </c>
      <c r="V95" s="0" t="s">
        <v>56</v>
      </c>
      <c r="W95" s="0" t="str">
        <f aca="false">IF(B95&lt;&gt;"Yes","Excluded",IF(R95&gt;=9,"Promoter",IF(R95&gt;=7,"Passive","Detractor")))</f>
        <v>Detractor</v>
      </c>
    </row>
    <row r="96" customFormat="false" ht="15" hidden="false" customHeight="false" outlineLevel="0" collapsed="false">
      <c r="A96" s="0" t="s">
        <v>290</v>
      </c>
      <c r="B96" s="0" t="s">
        <v>44</v>
      </c>
      <c r="C96" s="0" t="s">
        <v>79</v>
      </c>
      <c r="D96" s="0" t="s">
        <v>90</v>
      </c>
      <c r="E96" s="0" t="s">
        <v>127</v>
      </c>
      <c r="F96" s="0" t="s">
        <v>117</v>
      </c>
      <c r="G96" s="0" t="s">
        <v>66</v>
      </c>
      <c r="H96" s="0" t="s">
        <v>94</v>
      </c>
      <c r="I96" s="0" t="s">
        <v>83</v>
      </c>
      <c r="J96" s="0" t="s">
        <v>167</v>
      </c>
      <c r="K96" s="0" t="s">
        <v>69</v>
      </c>
      <c r="L96" s="0" t="s">
        <v>103</v>
      </c>
      <c r="M96" s="0" t="s">
        <v>55</v>
      </c>
      <c r="N96" s="0" t="s">
        <v>56</v>
      </c>
      <c r="O96" s="0" t="s">
        <v>55</v>
      </c>
      <c r="P96" s="0" t="s">
        <v>44</v>
      </c>
      <c r="Q96" s="0" t="s">
        <v>260</v>
      </c>
      <c r="R96" s="0" t="n">
        <v>10</v>
      </c>
      <c r="S96" s="0" t="s">
        <v>58</v>
      </c>
      <c r="T96" s="0" t="s">
        <v>99</v>
      </c>
      <c r="U96" s="0" t="s">
        <v>60</v>
      </c>
      <c r="V96" s="0" t="s">
        <v>107</v>
      </c>
      <c r="W96" s="0" t="str">
        <f aca="false">IF(B96&lt;&gt;"Yes","Excluded",IF(R96&gt;=9,"Promoter",IF(R96&gt;=7,"Passive","Detractor")))</f>
        <v>Promoter</v>
      </c>
    </row>
    <row r="97" customFormat="false" ht="15" hidden="false" customHeight="false" outlineLevel="0" collapsed="false">
      <c r="A97" s="0" t="s">
        <v>291</v>
      </c>
      <c r="B97" s="0" t="s">
        <v>44</v>
      </c>
      <c r="C97" s="0" t="s">
        <v>79</v>
      </c>
      <c r="D97" s="0" t="s">
        <v>169</v>
      </c>
      <c r="E97" s="0" t="s">
        <v>80</v>
      </c>
      <c r="F97" s="0" t="s">
        <v>65</v>
      </c>
      <c r="G97" s="0" t="s">
        <v>292</v>
      </c>
      <c r="H97" s="0" t="s">
        <v>94</v>
      </c>
      <c r="I97" s="0" t="s">
        <v>123</v>
      </c>
      <c r="J97" s="0" t="s">
        <v>114</v>
      </c>
      <c r="K97" s="0" t="s">
        <v>84</v>
      </c>
      <c r="L97" s="0" t="s">
        <v>103</v>
      </c>
      <c r="M97" s="0" t="s">
        <v>55</v>
      </c>
      <c r="N97" s="0" t="s">
        <v>56</v>
      </c>
      <c r="O97" s="0" t="s">
        <v>55</v>
      </c>
      <c r="P97" s="0" t="s">
        <v>44</v>
      </c>
      <c r="Q97" s="0" t="s">
        <v>85</v>
      </c>
      <c r="R97" s="0" t="n">
        <v>6</v>
      </c>
      <c r="S97" s="0" t="s">
        <v>125</v>
      </c>
      <c r="T97" s="0" t="s">
        <v>59</v>
      </c>
      <c r="U97" s="0" t="s">
        <v>55</v>
      </c>
      <c r="V97" s="0" t="s">
        <v>56</v>
      </c>
      <c r="W97" s="0" t="str">
        <f aca="false">IF(B97&lt;&gt;"Yes","Excluded",IF(R97&gt;=9,"Promoter",IF(R97&gt;=7,"Passive","Detractor")))</f>
        <v>Detractor</v>
      </c>
    </row>
    <row r="98" customFormat="false" ht="15" hidden="false" customHeight="false" outlineLevel="0" collapsed="false">
      <c r="A98" s="0" t="s">
        <v>293</v>
      </c>
      <c r="B98" s="0" t="s">
        <v>55</v>
      </c>
      <c r="C98" s="0" t="s">
        <v>45</v>
      </c>
      <c r="D98" s="0" t="s">
        <v>46</v>
      </c>
      <c r="E98" s="0" t="s">
        <v>127</v>
      </c>
      <c r="F98" s="0" t="s">
        <v>48</v>
      </c>
      <c r="G98" s="0" t="s">
        <v>56</v>
      </c>
      <c r="H98" s="0" t="s">
        <v>56</v>
      </c>
      <c r="I98" s="0" t="s">
        <v>56</v>
      </c>
      <c r="J98" s="0" t="s">
        <v>56</v>
      </c>
      <c r="K98" s="0" t="s">
        <v>56</v>
      </c>
      <c r="L98" s="0" t="s">
        <v>56</v>
      </c>
      <c r="M98" s="0" t="s">
        <v>55</v>
      </c>
      <c r="N98" s="0" t="s">
        <v>56</v>
      </c>
      <c r="O98" s="0" t="s">
        <v>55</v>
      </c>
      <c r="P98" s="0" t="s">
        <v>72</v>
      </c>
      <c r="Q98" s="0" t="s">
        <v>148</v>
      </c>
      <c r="R98" s="0" t="n">
        <v>3</v>
      </c>
      <c r="S98" s="0" t="s">
        <v>214</v>
      </c>
      <c r="T98" s="0" t="s">
        <v>215</v>
      </c>
      <c r="U98" s="0" t="s">
        <v>55</v>
      </c>
      <c r="V98" s="0" t="s">
        <v>56</v>
      </c>
      <c r="W98" s="0" t="str">
        <f aca="false">IF(B98&lt;&gt;"Yes","Excluded",IF(R98&gt;=9,"Promoter",IF(R98&gt;=7,"Passive","Detractor")))</f>
        <v>Excluded</v>
      </c>
    </row>
    <row r="99" customFormat="false" ht="15" hidden="false" customHeight="false" outlineLevel="0" collapsed="false">
      <c r="A99" s="0" t="s">
        <v>294</v>
      </c>
      <c r="B99" s="0" t="s">
        <v>44</v>
      </c>
      <c r="C99" s="0" t="s">
        <v>79</v>
      </c>
      <c r="D99" s="0" t="s">
        <v>46</v>
      </c>
      <c r="E99" s="0" t="s">
        <v>64</v>
      </c>
      <c r="F99" s="0" t="s">
        <v>112</v>
      </c>
      <c r="G99" s="0" t="s">
        <v>101</v>
      </c>
      <c r="H99" s="0" t="s">
        <v>82</v>
      </c>
      <c r="I99" s="0" t="s">
        <v>123</v>
      </c>
      <c r="J99" s="0" t="s">
        <v>68</v>
      </c>
      <c r="K99" s="0" t="s">
        <v>84</v>
      </c>
      <c r="L99" s="0" t="s">
        <v>70</v>
      </c>
      <c r="M99" s="0" t="s">
        <v>44</v>
      </c>
      <c r="N99" s="0" t="s">
        <v>71</v>
      </c>
      <c r="O99" s="0" t="s">
        <v>55</v>
      </c>
      <c r="P99" s="0" t="s">
        <v>44</v>
      </c>
      <c r="Q99" s="0" t="s">
        <v>148</v>
      </c>
      <c r="R99" s="0" t="n">
        <v>5</v>
      </c>
      <c r="S99" s="0" t="s">
        <v>74</v>
      </c>
      <c r="T99" s="0" t="s">
        <v>141</v>
      </c>
      <c r="U99" s="0" t="s">
        <v>55</v>
      </c>
      <c r="V99" s="0" t="s">
        <v>56</v>
      </c>
      <c r="W99" s="0" t="str">
        <f aca="false">IF(B99&lt;&gt;"Yes","Excluded",IF(R99&gt;=9,"Promoter",IF(R99&gt;=7,"Passive","Detractor")))</f>
        <v>Detractor</v>
      </c>
    </row>
    <row r="100" customFormat="false" ht="15" hidden="false" customHeight="false" outlineLevel="0" collapsed="false">
      <c r="A100" s="0" t="s">
        <v>295</v>
      </c>
      <c r="B100" s="0" t="s">
        <v>44</v>
      </c>
      <c r="C100" s="0" t="s">
        <v>45</v>
      </c>
      <c r="D100" s="0" t="s">
        <v>169</v>
      </c>
      <c r="E100" s="0" t="s">
        <v>227</v>
      </c>
      <c r="F100" s="0" t="s">
        <v>48</v>
      </c>
      <c r="G100" s="0" t="s">
        <v>49</v>
      </c>
      <c r="H100" s="0" t="s">
        <v>82</v>
      </c>
      <c r="I100" s="0" t="s">
        <v>123</v>
      </c>
      <c r="J100" s="0" t="s">
        <v>68</v>
      </c>
      <c r="K100" s="0" t="s">
        <v>53</v>
      </c>
      <c r="L100" s="0" t="s">
        <v>103</v>
      </c>
      <c r="M100" s="0" t="s">
        <v>44</v>
      </c>
      <c r="N100" s="0" t="s">
        <v>119</v>
      </c>
      <c r="O100" s="0" t="s">
        <v>55</v>
      </c>
      <c r="P100" s="0" t="s">
        <v>44</v>
      </c>
      <c r="Q100" s="0" t="s">
        <v>130</v>
      </c>
      <c r="R100" s="0" t="n">
        <v>10</v>
      </c>
      <c r="S100" s="0" t="s">
        <v>140</v>
      </c>
      <c r="T100" s="0" t="s">
        <v>75</v>
      </c>
      <c r="U100" s="0" t="s">
        <v>55</v>
      </c>
      <c r="V100" s="0" t="s">
        <v>56</v>
      </c>
      <c r="W100" s="0" t="str">
        <f aca="false">IF(B100&lt;&gt;"Yes","Excluded",IF(R100&gt;=9,"Promoter",IF(R100&gt;=7,"Passive","Detractor")))</f>
        <v>Promoter</v>
      </c>
    </row>
    <row r="101" customFormat="false" ht="15" hidden="false" customHeight="false" outlineLevel="0" collapsed="false">
      <c r="A101" s="0" t="s">
        <v>296</v>
      </c>
      <c r="B101" s="0" t="s">
        <v>55</v>
      </c>
      <c r="C101" s="0" t="s">
        <v>79</v>
      </c>
      <c r="D101" s="0" t="s">
        <v>46</v>
      </c>
      <c r="E101" s="0" t="s">
        <v>127</v>
      </c>
      <c r="F101" s="0" t="s">
        <v>117</v>
      </c>
      <c r="G101" s="0" t="s">
        <v>56</v>
      </c>
      <c r="H101" s="0" t="s">
        <v>56</v>
      </c>
      <c r="I101" s="0" t="s">
        <v>56</v>
      </c>
      <c r="J101" s="0" t="s">
        <v>56</v>
      </c>
      <c r="K101" s="0" t="s">
        <v>56</v>
      </c>
      <c r="L101" s="0" t="s">
        <v>56</v>
      </c>
      <c r="M101" s="0" t="s">
        <v>55</v>
      </c>
      <c r="N101" s="0" t="s">
        <v>56</v>
      </c>
      <c r="O101" s="0" t="s">
        <v>55</v>
      </c>
      <c r="P101" s="0" t="s">
        <v>72</v>
      </c>
      <c r="Q101" s="0" t="s">
        <v>148</v>
      </c>
      <c r="R101" s="0" t="n">
        <v>2</v>
      </c>
      <c r="S101" s="0" t="s">
        <v>214</v>
      </c>
      <c r="T101" s="0" t="s">
        <v>215</v>
      </c>
      <c r="U101" s="0" t="s">
        <v>55</v>
      </c>
      <c r="V101" s="0" t="s">
        <v>56</v>
      </c>
      <c r="W101" s="0" t="str">
        <f aca="false">IF(B101&lt;&gt;"Yes","Excluded",IF(R101&gt;=9,"Promoter",IF(R101&gt;=7,"Passive","Detractor")))</f>
        <v>Excluded</v>
      </c>
    </row>
    <row r="102" customFormat="false" ht="15" hidden="false" customHeight="false" outlineLevel="0" collapsed="false">
      <c r="A102" s="0" t="s">
        <v>297</v>
      </c>
      <c r="B102" s="0" t="s">
        <v>55</v>
      </c>
      <c r="C102" s="0" t="s">
        <v>133</v>
      </c>
      <c r="D102" s="0" t="s">
        <v>46</v>
      </c>
      <c r="E102" s="0" t="s">
        <v>80</v>
      </c>
      <c r="F102" s="0" t="s">
        <v>117</v>
      </c>
      <c r="G102" s="0" t="s">
        <v>56</v>
      </c>
      <c r="H102" s="0" t="s">
        <v>56</v>
      </c>
      <c r="I102" s="0" t="s">
        <v>56</v>
      </c>
      <c r="J102" s="0" t="s">
        <v>56</v>
      </c>
      <c r="K102" s="0" t="s">
        <v>56</v>
      </c>
      <c r="L102" s="0" t="s">
        <v>56</v>
      </c>
      <c r="M102" s="0" t="s">
        <v>55</v>
      </c>
      <c r="N102" s="0" t="s">
        <v>56</v>
      </c>
      <c r="O102" s="0" t="s">
        <v>55</v>
      </c>
      <c r="P102" s="0" t="s">
        <v>72</v>
      </c>
      <c r="Q102" s="0" t="s">
        <v>148</v>
      </c>
      <c r="R102" s="0" t="n">
        <v>0</v>
      </c>
      <c r="S102" s="0" t="s">
        <v>214</v>
      </c>
      <c r="T102" s="0" t="s">
        <v>215</v>
      </c>
      <c r="U102" s="0" t="s">
        <v>55</v>
      </c>
      <c r="V102" s="0" t="s">
        <v>56</v>
      </c>
      <c r="W102" s="0" t="str">
        <f aca="false">IF(B102&lt;&gt;"Yes","Excluded",IF(R102&gt;=9,"Promoter",IF(R102&gt;=7,"Passive","Detractor")))</f>
        <v>Excluded</v>
      </c>
    </row>
    <row r="103" customFormat="false" ht="15" hidden="false" customHeight="false" outlineLevel="0" collapsed="false">
      <c r="A103" s="0" t="s">
        <v>298</v>
      </c>
      <c r="B103" s="0" t="s">
        <v>44</v>
      </c>
      <c r="C103" s="0" t="s">
        <v>45</v>
      </c>
      <c r="D103" s="0" t="s">
        <v>46</v>
      </c>
      <c r="E103" s="0" t="s">
        <v>80</v>
      </c>
      <c r="F103" s="0" t="s">
        <v>48</v>
      </c>
      <c r="G103" s="0" t="s">
        <v>250</v>
      </c>
      <c r="H103" s="0" t="s">
        <v>67</v>
      </c>
      <c r="I103" s="0" t="s">
        <v>51</v>
      </c>
      <c r="J103" s="0" t="s">
        <v>52</v>
      </c>
      <c r="K103" s="0" t="s">
        <v>53</v>
      </c>
      <c r="L103" s="0" t="s">
        <v>54</v>
      </c>
      <c r="M103" s="0" t="s">
        <v>44</v>
      </c>
      <c r="N103" s="0" t="s">
        <v>119</v>
      </c>
      <c r="O103" s="0" t="s">
        <v>44</v>
      </c>
      <c r="P103" s="0" t="s">
        <v>72</v>
      </c>
      <c r="Q103" s="0" t="s">
        <v>181</v>
      </c>
      <c r="R103" s="0" t="n">
        <v>7</v>
      </c>
      <c r="S103" s="0" t="s">
        <v>105</v>
      </c>
      <c r="T103" s="0" t="s">
        <v>131</v>
      </c>
      <c r="U103" s="0" t="s">
        <v>55</v>
      </c>
      <c r="V103" s="0" t="s">
        <v>56</v>
      </c>
      <c r="W103" s="0" t="str">
        <f aca="false">IF(B103&lt;&gt;"Yes","Excluded",IF(R103&gt;=9,"Promoter",IF(R103&gt;=7,"Passive","Detractor")))</f>
        <v>Passive</v>
      </c>
    </row>
    <row r="104" customFormat="false" ht="15" hidden="false" customHeight="false" outlineLevel="0" collapsed="false">
      <c r="A104" s="0" t="s">
        <v>299</v>
      </c>
      <c r="B104" s="0" t="s">
        <v>44</v>
      </c>
      <c r="C104" s="0" t="s">
        <v>45</v>
      </c>
      <c r="D104" s="0" t="s">
        <v>90</v>
      </c>
      <c r="E104" s="0" t="s">
        <v>80</v>
      </c>
      <c r="F104" s="0" t="s">
        <v>48</v>
      </c>
      <c r="G104" s="0" t="s">
        <v>155</v>
      </c>
      <c r="H104" s="0" t="s">
        <v>82</v>
      </c>
      <c r="I104" s="0" t="s">
        <v>51</v>
      </c>
      <c r="J104" s="0" t="s">
        <v>52</v>
      </c>
      <c r="K104" s="0" t="s">
        <v>84</v>
      </c>
      <c r="L104" s="0" t="s">
        <v>70</v>
      </c>
      <c r="M104" s="0" t="s">
        <v>55</v>
      </c>
      <c r="N104" s="0" t="s">
        <v>56</v>
      </c>
      <c r="O104" s="0" t="s">
        <v>55</v>
      </c>
      <c r="P104" s="0" t="s">
        <v>55</v>
      </c>
      <c r="Q104" s="0" t="s">
        <v>300</v>
      </c>
      <c r="R104" s="0" t="n">
        <v>6</v>
      </c>
      <c r="S104" s="0" t="s">
        <v>125</v>
      </c>
      <c r="T104" s="0" t="s">
        <v>131</v>
      </c>
      <c r="U104" s="0" t="s">
        <v>76</v>
      </c>
      <c r="V104" s="0" t="s">
        <v>61</v>
      </c>
      <c r="W104" s="0" t="str">
        <f aca="false">IF(B104&lt;&gt;"Yes","Excluded",IF(R104&gt;=9,"Promoter",IF(R104&gt;=7,"Passive","Detractor")))</f>
        <v>Detractor</v>
      </c>
    </row>
    <row r="105" customFormat="false" ht="15" hidden="false" customHeight="false" outlineLevel="0" collapsed="false">
      <c r="A105" s="0" t="s">
        <v>301</v>
      </c>
      <c r="B105" s="0" t="s">
        <v>44</v>
      </c>
      <c r="C105" s="0" t="s">
        <v>45</v>
      </c>
      <c r="D105" s="0" t="s">
        <v>46</v>
      </c>
      <c r="E105" s="0" t="s">
        <v>80</v>
      </c>
      <c r="F105" s="0" t="s">
        <v>48</v>
      </c>
      <c r="G105" s="0" t="s">
        <v>101</v>
      </c>
      <c r="H105" s="0" t="s">
        <v>94</v>
      </c>
      <c r="I105" s="0" t="s">
        <v>83</v>
      </c>
      <c r="J105" s="0" t="s">
        <v>68</v>
      </c>
      <c r="K105" s="0" t="s">
        <v>53</v>
      </c>
      <c r="L105" s="0" t="s">
        <v>103</v>
      </c>
      <c r="M105" s="0" t="s">
        <v>55</v>
      </c>
      <c r="N105" s="0" t="s">
        <v>56</v>
      </c>
      <c r="O105" s="0" t="s">
        <v>44</v>
      </c>
      <c r="P105" s="0" t="s">
        <v>72</v>
      </c>
      <c r="Q105" s="0" t="s">
        <v>130</v>
      </c>
      <c r="R105" s="0" t="n">
        <v>9</v>
      </c>
      <c r="S105" s="0" t="s">
        <v>140</v>
      </c>
      <c r="T105" s="0" t="s">
        <v>75</v>
      </c>
      <c r="U105" s="0" t="s">
        <v>55</v>
      </c>
      <c r="V105" s="0" t="s">
        <v>56</v>
      </c>
      <c r="W105" s="0" t="str">
        <f aca="false">IF(B105&lt;&gt;"Yes","Excluded",IF(R105&gt;=9,"Promoter",IF(R105&gt;=7,"Passive","Detractor")))</f>
        <v>Promoter</v>
      </c>
    </row>
    <row r="106" customFormat="false" ht="15" hidden="false" customHeight="false" outlineLevel="0" collapsed="false">
      <c r="A106" s="0" t="s">
        <v>302</v>
      </c>
      <c r="B106" s="0" t="s">
        <v>44</v>
      </c>
      <c r="C106" s="0" t="s">
        <v>303</v>
      </c>
      <c r="D106" s="0" t="s">
        <v>46</v>
      </c>
      <c r="E106" s="0" t="s">
        <v>91</v>
      </c>
      <c r="F106" s="0" t="s">
        <v>48</v>
      </c>
      <c r="G106" s="0" t="s">
        <v>66</v>
      </c>
      <c r="H106" s="0" t="s">
        <v>94</v>
      </c>
      <c r="I106" s="0" t="s">
        <v>51</v>
      </c>
      <c r="J106" s="0" t="s">
        <v>167</v>
      </c>
      <c r="K106" s="0" t="s">
        <v>69</v>
      </c>
      <c r="L106" s="0" t="s">
        <v>54</v>
      </c>
      <c r="M106" s="0" t="s">
        <v>44</v>
      </c>
      <c r="N106" s="0" t="s">
        <v>134</v>
      </c>
      <c r="O106" s="0" t="s">
        <v>55</v>
      </c>
      <c r="P106" s="0" t="s">
        <v>44</v>
      </c>
      <c r="Q106" s="0" t="s">
        <v>109</v>
      </c>
      <c r="R106" s="0" t="n">
        <v>6</v>
      </c>
      <c r="S106" s="0" t="s">
        <v>136</v>
      </c>
      <c r="T106" s="0" t="s">
        <v>59</v>
      </c>
      <c r="U106" s="0" t="s">
        <v>60</v>
      </c>
      <c r="V106" s="0" t="s">
        <v>107</v>
      </c>
      <c r="W106" s="0" t="str">
        <f aca="false">IF(B106&lt;&gt;"Yes","Excluded",IF(R106&gt;=9,"Promoter",IF(R106&gt;=7,"Passive","Detractor")))</f>
        <v>Detractor</v>
      </c>
    </row>
    <row r="107" customFormat="false" ht="15" hidden="false" customHeight="false" outlineLevel="0" collapsed="false">
      <c r="A107" s="0" t="s">
        <v>304</v>
      </c>
      <c r="B107" s="0" t="s">
        <v>44</v>
      </c>
      <c r="C107" s="0" t="s">
        <v>79</v>
      </c>
      <c r="D107" s="0" t="s">
        <v>46</v>
      </c>
      <c r="E107" s="0" t="s">
        <v>80</v>
      </c>
      <c r="F107" s="0" t="s">
        <v>117</v>
      </c>
      <c r="G107" s="0" t="s">
        <v>49</v>
      </c>
      <c r="H107" s="0" t="s">
        <v>67</v>
      </c>
      <c r="I107" s="0" t="s">
        <v>51</v>
      </c>
      <c r="J107" s="0" t="s">
        <v>68</v>
      </c>
      <c r="K107" s="0" t="s">
        <v>53</v>
      </c>
      <c r="L107" s="0" t="s">
        <v>54</v>
      </c>
      <c r="M107" s="0" t="s">
        <v>55</v>
      </c>
      <c r="N107" s="0" t="s">
        <v>56</v>
      </c>
      <c r="O107" s="0" t="s">
        <v>55</v>
      </c>
      <c r="P107" s="0" t="s">
        <v>44</v>
      </c>
      <c r="Q107" s="0" t="s">
        <v>73</v>
      </c>
      <c r="R107" s="0" t="n">
        <v>6</v>
      </c>
      <c r="S107" s="0" t="s">
        <v>125</v>
      </c>
      <c r="T107" s="0" t="s">
        <v>99</v>
      </c>
      <c r="U107" s="0" t="s">
        <v>55</v>
      </c>
      <c r="V107" s="0" t="s">
        <v>56</v>
      </c>
      <c r="W107" s="0" t="str">
        <f aca="false">IF(B107&lt;&gt;"Yes","Excluded",IF(R107&gt;=9,"Promoter",IF(R107&gt;=7,"Passive","Detractor")))</f>
        <v>Detractor</v>
      </c>
    </row>
    <row r="108" customFormat="false" ht="15" hidden="false" customHeight="false" outlineLevel="0" collapsed="false">
      <c r="A108" s="0" t="s">
        <v>305</v>
      </c>
      <c r="B108" s="0" t="s">
        <v>44</v>
      </c>
      <c r="C108" s="0" t="s">
        <v>79</v>
      </c>
      <c r="D108" s="0" t="s">
        <v>46</v>
      </c>
      <c r="E108" s="0" t="s">
        <v>64</v>
      </c>
      <c r="F108" s="0" t="s">
        <v>65</v>
      </c>
      <c r="G108" s="0" t="s">
        <v>118</v>
      </c>
      <c r="H108" s="0" t="s">
        <v>50</v>
      </c>
      <c r="I108" s="0" t="s">
        <v>102</v>
      </c>
      <c r="J108" s="0" t="s">
        <v>68</v>
      </c>
      <c r="K108" s="0" t="s">
        <v>53</v>
      </c>
      <c r="L108" s="0" t="s">
        <v>70</v>
      </c>
      <c r="M108" s="0" t="s">
        <v>55</v>
      </c>
      <c r="N108" s="0" t="s">
        <v>56</v>
      </c>
      <c r="O108" s="0" t="s">
        <v>55</v>
      </c>
      <c r="P108" s="0" t="s">
        <v>72</v>
      </c>
      <c r="Q108" s="0" t="s">
        <v>306</v>
      </c>
      <c r="R108" s="0" t="n">
        <v>7</v>
      </c>
      <c r="S108" s="0" t="s">
        <v>159</v>
      </c>
      <c r="T108" s="0" t="s">
        <v>106</v>
      </c>
      <c r="U108" s="0" t="s">
        <v>76</v>
      </c>
      <c r="V108" s="0" t="s">
        <v>61</v>
      </c>
      <c r="W108" s="0" t="str">
        <f aca="false">IF(B108&lt;&gt;"Yes","Excluded",IF(R108&gt;=9,"Promoter",IF(R108&gt;=7,"Passive","Detractor")))</f>
        <v>Passive</v>
      </c>
    </row>
    <row r="109" customFormat="false" ht="15" hidden="false" customHeight="false" outlineLevel="0" collapsed="false">
      <c r="A109" s="0" t="s">
        <v>307</v>
      </c>
      <c r="B109" s="0" t="s">
        <v>44</v>
      </c>
      <c r="C109" s="0" t="s">
        <v>133</v>
      </c>
      <c r="D109" s="0" t="s">
        <v>46</v>
      </c>
      <c r="E109" s="0" t="s">
        <v>91</v>
      </c>
      <c r="F109" s="0" t="s">
        <v>65</v>
      </c>
      <c r="G109" s="0" t="s">
        <v>155</v>
      </c>
      <c r="H109" s="0" t="s">
        <v>138</v>
      </c>
      <c r="I109" s="0" t="s">
        <v>51</v>
      </c>
      <c r="J109" s="0" t="s">
        <v>96</v>
      </c>
      <c r="K109" s="0" t="s">
        <v>84</v>
      </c>
      <c r="L109" s="0" t="s">
        <v>70</v>
      </c>
      <c r="M109" s="0" t="s">
        <v>55</v>
      </c>
      <c r="N109" s="0" t="s">
        <v>56</v>
      </c>
      <c r="O109" s="0" t="s">
        <v>44</v>
      </c>
      <c r="P109" s="0" t="s">
        <v>72</v>
      </c>
      <c r="Q109" s="0" t="s">
        <v>308</v>
      </c>
      <c r="R109" s="0" t="n">
        <v>7</v>
      </c>
      <c r="S109" s="0" t="s">
        <v>121</v>
      </c>
      <c r="T109" s="0" t="s">
        <v>141</v>
      </c>
      <c r="U109" s="0" t="s">
        <v>55</v>
      </c>
      <c r="V109" s="0" t="s">
        <v>56</v>
      </c>
      <c r="W109" s="0" t="str">
        <f aca="false">IF(B109&lt;&gt;"Yes","Excluded",IF(R109&gt;=9,"Promoter",IF(R109&gt;=7,"Passive","Detractor")))</f>
        <v>Passive</v>
      </c>
    </row>
    <row r="110" customFormat="false" ht="15" hidden="false" customHeight="false" outlineLevel="0" collapsed="false">
      <c r="A110" s="0" t="s">
        <v>309</v>
      </c>
      <c r="B110" s="0" t="s">
        <v>55</v>
      </c>
      <c r="C110" s="0" t="s">
        <v>133</v>
      </c>
      <c r="D110" s="0" t="s">
        <v>90</v>
      </c>
      <c r="E110" s="0" t="s">
        <v>91</v>
      </c>
      <c r="F110" s="0" t="s">
        <v>65</v>
      </c>
      <c r="G110" s="0" t="s">
        <v>56</v>
      </c>
      <c r="H110" s="0" t="s">
        <v>56</v>
      </c>
      <c r="I110" s="0" t="s">
        <v>56</v>
      </c>
      <c r="J110" s="0" t="s">
        <v>56</v>
      </c>
      <c r="K110" s="0" t="s">
        <v>56</v>
      </c>
      <c r="L110" s="0" t="s">
        <v>56</v>
      </c>
      <c r="M110" s="0" t="s">
        <v>55</v>
      </c>
      <c r="N110" s="0" t="s">
        <v>56</v>
      </c>
      <c r="O110" s="0" t="s">
        <v>55</v>
      </c>
      <c r="P110" s="0" t="s">
        <v>72</v>
      </c>
      <c r="Q110" s="0" t="s">
        <v>148</v>
      </c>
      <c r="R110" s="0" t="n">
        <v>0</v>
      </c>
      <c r="S110" s="0" t="s">
        <v>214</v>
      </c>
      <c r="T110" s="0" t="s">
        <v>215</v>
      </c>
      <c r="U110" s="0" t="s">
        <v>55</v>
      </c>
      <c r="V110" s="0" t="s">
        <v>56</v>
      </c>
      <c r="W110" s="0" t="str">
        <f aca="false">IF(B110&lt;&gt;"Yes","Excluded",IF(R110&gt;=9,"Promoter",IF(R110&gt;=7,"Passive","Detractor")))</f>
        <v>Excluded</v>
      </c>
    </row>
    <row r="111" customFormat="false" ht="15" hidden="false" customHeight="false" outlineLevel="0" collapsed="false">
      <c r="A111" s="0" t="s">
        <v>310</v>
      </c>
      <c r="B111" s="0" t="s">
        <v>44</v>
      </c>
      <c r="C111" s="0" t="s">
        <v>63</v>
      </c>
      <c r="D111" s="0" t="s">
        <v>46</v>
      </c>
      <c r="E111" s="0" t="s">
        <v>64</v>
      </c>
      <c r="F111" s="0" t="s">
        <v>92</v>
      </c>
      <c r="G111" s="0" t="s">
        <v>81</v>
      </c>
      <c r="H111" s="0" t="s">
        <v>50</v>
      </c>
      <c r="I111" s="0" t="s">
        <v>83</v>
      </c>
      <c r="J111" s="0" t="s">
        <v>52</v>
      </c>
      <c r="K111" s="0" t="s">
        <v>84</v>
      </c>
      <c r="L111" s="0" t="s">
        <v>70</v>
      </c>
      <c r="M111" s="0" t="s">
        <v>55</v>
      </c>
      <c r="N111" s="0" t="s">
        <v>56</v>
      </c>
      <c r="O111" s="0" t="s">
        <v>44</v>
      </c>
      <c r="P111" s="0" t="s">
        <v>72</v>
      </c>
      <c r="Q111" s="0" t="s">
        <v>311</v>
      </c>
      <c r="R111" s="0" t="n">
        <v>9</v>
      </c>
      <c r="S111" s="0" t="s">
        <v>140</v>
      </c>
      <c r="T111" s="0" t="s">
        <v>59</v>
      </c>
      <c r="U111" s="0" t="s">
        <v>55</v>
      </c>
      <c r="V111" s="0" t="s">
        <v>56</v>
      </c>
      <c r="W111" s="0" t="str">
        <f aca="false">IF(B111&lt;&gt;"Yes","Excluded",IF(R111&gt;=9,"Promoter",IF(R111&gt;=7,"Passive","Detractor")))</f>
        <v>Promoter</v>
      </c>
    </row>
    <row r="112" customFormat="false" ht="15" hidden="false" customHeight="false" outlineLevel="0" collapsed="false">
      <c r="A112" s="0" t="s">
        <v>312</v>
      </c>
      <c r="B112" s="0" t="s">
        <v>44</v>
      </c>
      <c r="C112" s="0" t="s">
        <v>133</v>
      </c>
      <c r="D112" s="0" t="s">
        <v>46</v>
      </c>
      <c r="E112" s="0" t="s">
        <v>64</v>
      </c>
      <c r="F112" s="0" t="s">
        <v>117</v>
      </c>
      <c r="G112" s="0" t="s">
        <v>313</v>
      </c>
      <c r="H112" s="0" t="s">
        <v>67</v>
      </c>
      <c r="I112" s="0" t="s">
        <v>123</v>
      </c>
      <c r="J112" s="0" t="s">
        <v>96</v>
      </c>
      <c r="K112" s="0" t="s">
        <v>69</v>
      </c>
      <c r="L112" s="0" t="s">
        <v>70</v>
      </c>
      <c r="M112" s="0" t="s">
        <v>55</v>
      </c>
      <c r="N112" s="0" t="s">
        <v>56</v>
      </c>
      <c r="O112" s="0" t="s">
        <v>55</v>
      </c>
      <c r="P112" s="0" t="s">
        <v>55</v>
      </c>
      <c r="Q112" s="0" t="s">
        <v>109</v>
      </c>
      <c r="R112" s="0" t="n">
        <v>7</v>
      </c>
      <c r="S112" s="0" t="s">
        <v>121</v>
      </c>
      <c r="T112" s="0" t="s">
        <v>141</v>
      </c>
      <c r="U112" s="0" t="s">
        <v>55</v>
      </c>
      <c r="V112" s="0" t="s">
        <v>56</v>
      </c>
      <c r="W112" s="0" t="str">
        <f aca="false">IF(B112&lt;&gt;"Yes","Excluded",IF(R112&gt;=9,"Promoter",IF(R112&gt;=7,"Passive","Detractor")))</f>
        <v>Passive</v>
      </c>
    </row>
    <row r="113" customFormat="false" ht="15" hidden="false" customHeight="false" outlineLevel="0" collapsed="false">
      <c r="A113" s="0" t="s">
        <v>314</v>
      </c>
      <c r="B113" s="0" t="s">
        <v>55</v>
      </c>
      <c r="C113" s="0" t="s">
        <v>45</v>
      </c>
      <c r="D113" s="0" t="s">
        <v>46</v>
      </c>
      <c r="E113" s="0" t="s">
        <v>80</v>
      </c>
      <c r="F113" s="0" t="s">
        <v>48</v>
      </c>
      <c r="G113" s="0" t="s">
        <v>56</v>
      </c>
      <c r="H113" s="0" t="s">
        <v>56</v>
      </c>
      <c r="I113" s="0" t="s">
        <v>56</v>
      </c>
      <c r="J113" s="0" t="s">
        <v>56</v>
      </c>
      <c r="K113" s="0" t="s">
        <v>56</v>
      </c>
      <c r="L113" s="0" t="s">
        <v>56</v>
      </c>
      <c r="M113" s="0" t="s">
        <v>55</v>
      </c>
      <c r="N113" s="0" t="s">
        <v>56</v>
      </c>
      <c r="O113" s="0" t="s">
        <v>55</v>
      </c>
      <c r="P113" s="0" t="s">
        <v>72</v>
      </c>
      <c r="Q113" s="0" t="s">
        <v>148</v>
      </c>
      <c r="R113" s="0" t="n">
        <v>1</v>
      </c>
      <c r="S113" s="0" t="s">
        <v>214</v>
      </c>
      <c r="T113" s="0" t="s">
        <v>215</v>
      </c>
      <c r="U113" s="0" t="s">
        <v>55</v>
      </c>
      <c r="V113" s="0" t="s">
        <v>56</v>
      </c>
      <c r="W113" s="0" t="str">
        <f aca="false">IF(B113&lt;&gt;"Yes","Excluded",IF(R113&gt;=9,"Promoter",IF(R113&gt;=7,"Passive","Detractor")))</f>
        <v>Excluded</v>
      </c>
    </row>
    <row r="114" customFormat="false" ht="15" hidden="false" customHeight="false" outlineLevel="0" collapsed="false">
      <c r="A114" s="0" t="s">
        <v>315</v>
      </c>
      <c r="B114" s="0" t="s">
        <v>44</v>
      </c>
      <c r="C114" s="0" t="s">
        <v>79</v>
      </c>
      <c r="D114" s="0" t="s">
        <v>90</v>
      </c>
      <c r="E114" s="0" t="s">
        <v>47</v>
      </c>
      <c r="F114" s="0" t="s">
        <v>117</v>
      </c>
      <c r="G114" s="0" t="s">
        <v>128</v>
      </c>
      <c r="H114" s="0" t="s">
        <v>138</v>
      </c>
      <c r="I114" s="0" t="s">
        <v>83</v>
      </c>
      <c r="J114" s="0" t="s">
        <v>52</v>
      </c>
      <c r="K114" s="0" t="s">
        <v>53</v>
      </c>
      <c r="L114" s="0" t="s">
        <v>54</v>
      </c>
      <c r="M114" s="0" t="s">
        <v>55</v>
      </c>
      <c r="N114" s="0" t="s">
        <v>56</v>
      </c>
      <c r="O114" s="0" t="s">
        <v>55</v>
      </c>
      <c r="P114" s="0" t="s">
        <v>44</v>
      </c>
      <c r="Q114" s="0" t="s">
        <v>85</v>
      </c>
      <c r="R114" s="0" t="n">
        <v>9</v>
      </c>
      <c r="S114" s="0" t="s">
        <v>150</v>
      </c>
      <c r="T114" s="0" t="s">
        <v>110</v>
      </c>
      <c r="U114" s="0" t="s">
        <v>60</v>
      </c>
      <c r="V114" s="0" t="s">
        <v>77</v>
      </c>
      <c r="W114" s="0" t="str">
        <f aca="false">IF(B114&lt;&gt;"Yes","Excluded",IF(R114&gt;=9,"Promoter",IF(R114&gt;=7,"Passive","Detractor")))</f>
        <v>Promoter</v>
      </c>
    </row>
    <row r="115" customFormat="false" ht="15" hidden="false" customHeight="false" outlineLevel="0" collapsed="false">
      <c r="A115" s="0" t="s">
        <v>316</v>
      </c>
      <c r="B115" s="0" t="s">
        <v>44</v>
      </c>
      <c r="C115" s="0" t="s">
        <v>79</v>
      </c>
      <c r="D115" s="0" t="s">
        <v>90</v>
      </c>
      <c r="E115" s="0" t="s">
        <v>80</v>
      </c>
      <c r="F115" s="0" t="s">
        <v>112</v>
      </c>
      <c r="G115" s="0" t="s">
        <v>287</v>
      </c>
      <c r="H115" s="0" t="s">
        <v>138</v>
      </c>
      <c r="I115" s="0" t="s">
        <v>95</v>
      </c>
      <c r="J115" s="0" t="s">
        <v>68</v>
      </c>
      <c r="K115" s="0" t="s">
        <v>53</v>
      </c>
      <c r="L115" s="0" t="s">
        <v>103</v>
      </c>
      <c r="M115" s="0" t="s">
        <v>55</v>
      </c>
      <c r="N115" s="0" t="s">
        <v>56</v>
      </c>
      <c r="O115" s="0" t="s">
        <v>55</v>
      </c>
      <c r="P115" s="0" t="s">
        <v>55</v>
      </c>
      <c r="Q115" s="0" t="s">
        <v>265</v>
      </c>
      <c r="R115" s="0" t="n">
        <v>7</v>
      </c>
      <c r="S115" s="0" t="s">
        <v>105</v>
      </c>
      <c r="T115" s="0" t="s">
        <v>75</v>
      </c>
      <c r="U115" s="0" t="s">
        <v>55</v>
      </c>
      <c r="V115" s="0" t="s">
        <v>56</v>
      </c>
      <c r="W115" s="0" t="str">
        <f aca="false">IF(B115&lt;&gt;"Yes","Excluded",IF(R115&gt;=9,"Promoter",IF(R115&gt;=7,"Passive","Detractor")))</f>
        <v>Passive</v>
      </c>
    </row>
    <row r="116" customFormat="false" ht="15" hidden="false" customHeight="false" outlineLevel="0" collapsed="false">
      <c r="A116" s="0" t="s">
        <v>317</v>
      </c>
      <c r="B116" s="0" t="s">
        <v>44</v>
      </c>
      <c r="C116" s="0" t="s">
        <v>79</v>
      </c>
      <c r="D116" s="0" t="s">
        <v>46</v>
      </c>
      <c r="E116" s="0" t="s">
        <v>91</v>
      </c>
      <c r="F116" s="0" t="s">
        <v>65</v>
      </c>
      <c r="G116" s="0" t="s">
        <v>157</v>
      </c>
      <c r="H116" s="0" t="s">
        <v>67</v>
      </c>
      <c r="I116" s="0" t="s">
        <v>51</v>
      </c>
      <c r="J116" s="0" t="s">
        <v>68</v>
      </c>
      <c r="K116" s="0" t="s">
        <v>84</v>
      </c>
      <c r="L116" s="0" t="s">
        <v>70</v>
      </c>
      <c r="M116" s="0" t="s">
        <v>44</v>
      </c>
      <c r="N116" s="0" t="s">
        <v>119</v>
      </c>
      <c r="O116" s="0" t="s">
        <v>55</v>
      </c>
      <c r="P116" s="0" t="s">
        <v>44</v>
      </c>
      <c r="Q116" s="0" t="s">
        <v>109</v>
      </c>
      <c r="R116" s="0" t="n">
        <v>8</v>
      </c>
      <c r="S116" s="0" t="s">
        <v>86</v>
      </c>
      <c r="T116" s="0" t="s">
        <v>99</v>
      </c>
      <c r="U116" s="0" t="s">
        <v>55</v>
      </c>
      <c r="V116" s="0" t="s">
        <v>56</v>
      </c>
      <c r="W116" s="0" t="str">
        <f aca="false">IF(B116&lt;&gt;"Yes","Excluded",IF(R116&gt;=9,"Promoter",IF(R116&gt;=7,"Passive","Detractor")))</f>
        <v>Passive</v>
      </c>
    </row>
    <row r="117" customFormat="false" ht="15" hidden="false" customHeight="false" outlineLevel="0" collapsed="false">
      <c r="A117" s="0" t="s">
        <v>318</v>
      </c>
      <c r="B117" s="0" t="s">
        <v>44</v>
      </c>
      <c r="C117" s="0" t="s">
        <v>63</v>
      </c>
      <c r="D117" s="0" t="s">
        <v>90</v>
      </c>
      <c r="E117" s="0" t="s">
        <v>47</v>
      </c>
      <c r="F117" s="0" t="s">
        <v>65</v>
      </c>
      <c r="G117" s="0" t="s">
        <v>155</v>
      </c>
      <c r="H117" s="0" t="s">
        <v>82</v>
      </c>
      <c r="I117" s="0" t="s">
        <v>51</v>
      </c>
      <c r="J117" s="0" t="s">
        <v>96</v>
      </c>
      <c r="K117" s="0" t="s">
        <v>84</v>
      </c>
      <c r="L117" s="0" t="s">
        <v>70</v>
      </c>
      <c r="M117" s="0" t="s">
        <v>55</v>
      </c>
      <c r="N117" s="0" t="s">
        <v>56</v>
      </c>
      <c r="O117" s="0" t="s">
        <v>55</v>
      </c>
      <c r="P117" s="0" t="s">
        <v>44</v>
      </c>
      <c r="Q117" s="0" t="s">
        <v>319</v>
      </c>
      <c r="R117" s="0" t="n">
        <v>9</v>
      </c>
      <c r="S117" s="0" t="s">
        <v>58</v>
      </c>
      <c r="T117" s="0" t="s">
        <v>59</v>
      </c>
      <c r="U117" s="0" t="s">
        <v>55</v>
      </c>
      <c r="V117" s="0" t="s">
        <v>56</v>
      </c>
      <c r="W117" s="0" t="str">
        <f aca="false">IF(B117&lt;&gt;"Yes","Excluded",IF(R117&gt;=9,"Promoter",IF(R117&gt;=7,"Passive","Detractor")))</f>
        <v>Promoter</v>
      </c>
    </row>
    <row r="118" customFormat="false" ht="15" hidden="false" customHeight="false" outlineLevel="0" collapsed="false">
      <c r="A118" s="0" t="s">
        <v>320</v>
      </c>
      <c r="B118" s="0" t="s">
        <v>44</v>
      </c>
      <c r="C118" s="0" t="s">
        <v>79</v>
      </c>
      <c r="D118" s="0" t="s">
        <v>90</v>
      </c>
      <c r="E118" s="0" t="s">
        <v>64</v>
      </c>
      <c r="F118" s="0" t="s">
        <v>65</v>
      </c>
      <c r="G118" s="0" t="s">
        <v>321</v>
      </c>
      <c r="H118" s="0" t="s">
        <v>94</v>
      </c>
      <c r="I118" s="0" t="s">
        <v>83</v>
      </c>
      <c r="J118" s="0" t="s">
        <v>96</v>
      </c>
      <c r="K118" s="0" t="s">
        <v>84</v>
      </c>
      <c r="L118" s="0" t="s">
        <v>70</v>
      </c>
      <c r="M118" s="0" t="s">
        <v>55</v>
      </c>
      <c r="N118" s="0" t="s">
        <v>56</v>
      </c>
      <c r="O118" s="0" t="s">
        <v>44</v>
      </c>
      <c r="P118" s="0" t="s">
        <v>72</v>
      </c>
      <c r="Q118" s="0" t="s">
        <v>130</v>
      </c>
      <c r="R118" s="0" t="n">
        <v>10</v>
      </c>
      <c r="S118" s="0" t="s">
        <v>58</v>
      </c>
      <c r="T118" s="0" t="s">
        <v>75</v>
      </c>
      <c r="U118" s="0" t="s">
        <v>60</v>
      </c>
      <c r="V118" s="0" t="s">
        <v>77</v>
      </c>
      <c r="W118" s="0" t="str">
        <f aca="false">IF(B118&lt;&gt;"Yes","Excluded",IF(R118&gt;=9,"Promoter",IF(R118&gt;=7,"Passive","Detractor")))</f>
        <v>Promoter</v>
      </c>
    </row>
    <row r="119" customFormat="false" ht="15" hidden="false" customHeight="false" outlineLevel="0" collapsed="false">
      <c r="A119" s="0" t="s">
        <v>322</v>
      </c>
      <c r="B119" s="0" t="s">
        <v>44</v>
      </c>
      <c r="C119" s="0" t="s">
        <v>45</v>
      </c>
      <c r="D119" s="0" t="s">
        <v>46</v>
      </c>
      <c r="E119" s="0" t="s">
        <v>127</v>
      </c>
      <c r="F119" s="0" t="s">
        <v>48</v>
      </c>
      <c r="G119" s="0" t="s">
        <v>170</v>
      </c>
      <c r="H119" s="0" t="s">
        <v>82</v>
      </c>
      <c r="I119" s="0" t="s">
        <v>51</v>
      </c>
      <c r="J119" s="0" t="s">
        <v>52</v>
      </c>
      <c r="K119" s="0" t="s">
        <v>84</v>
      </c>
      <c r="L119" s="0" t="s">
        <v>70</v>
      </c>
      <c r="M119" s="0" t="s">
        <v>44</v>
      </c>
      <c r="N119" s="0" t="s">
        <v>134</v>
      </c>
      <c r="O119" s="0" t="s">
        <v>55</v>
      </c>
      <c r="P119" s="0" t="s">
        <v>44</v>
      </c>
      <c r="Q119" s="0" t="s">
        <v>323</v>
      </c>
      <c r="R119" s="0" t="n">
        <v>10</v>
      </c>
      <c r="S119" s="0" t="s">
        <v>58</v>
      </c>
      <c r="T119" s="0" t="s">
        <v>182</v>
      </c>
      <c r="U119" s="0" t="s">
        <v>60</v>
      </c>
      <c r="V119" s="0" t="s">
        <v>77</v>
      </c>
      <c r="W119" s="0" t="str">
        <f aca="false">IF(B119&lt;&gt;"Yes","Excluded",IF(R119&gt;=9,"Promoter",IF(R119&gt;=7,"Passive","Detractor")))</f>
        <v>Promoter</v>
      </c>
    </row>
    <row r="120" customFormat="false" ht="15" hidden="false" customHeight="false" outlineLevel="0" collapsed="false">
      <c r="A120" s="0" t="s">
        <v>324</v>
      </c>
      <c r="B120" s="0" t="s">
        <v>44</v>
      </c>
      <c r="C120" s="0" t="s">
        <v>45</v>
      </c>
      <c r="D120" s="0" t="s">
        <v>90</v>
      </c>
      <c r="E120" s="0" t="s">
        <v>80</v>
      </c>
      <c r="F120" s="0" t="s">
        <v>48</v>
      </c>
      <c r="G120" s="0" t="s">
        <v>184</v>
      </c>
      <c r="H120" s="0" t="s">
        <v>129</v>
      </c>
      <c r="I120" s="0" t="s">
        <v>51</v>
      </c>
      <c r="J120" s="0" t="s">
        <v>68</v>
      </c>
      <c r="K120" s="0" t="s">
        <v>53</v>
      </c>
      <c r="L120" s="0" t="s">
        <v>70</v>
      </c>
      <c r="M120" s="0" t="s">
        <v>44</v>
      </c>
      <c r="N120" s="0" t="s">
        <v>175</v>
      </c>
      <c r="O120" s="0" t="s">
        <v>55</v>
      </c>
      <c r="P120" s="0" t="s">
        <v>55</v>
      </c>
      <c r="Q120" s="0" t="s">
        <v>109</v>
      </c>
      <c r="R120" s="0" t="n">
        <v>8</v>
      </c>
      <c r="S120" s="0" t="s">
        <v>121</v>
      </c>
      <c r="T120" s="0" t="s">
        <v>99</v>
      </c>
      <c r="U120" s="0" t="s">
        <v>55</v>
      </c>
      <c r="V120" s="0" t="s">
        <v>56</v>
      </c>
      <c r="W120" s="0" t="str">
        <f aca="false">IF(B120&lt;&gt;"Yes","Excluded",IF(R120&gt;=9,"Promoter",IF(R120&gt;=7,"Passive","Detractor")))</f>
        <v>Passive</v>
      </c>
    </row>
    <row r="121" customFormat="false" ht="15" hidden="false" customHeight="false" outlineLevel="0" collapsed="false">
      <c r="A121" s="0" t="s">
        <v>325</v>
      </c>
      <c r="B121" s="0" t="s">
        <v>55</v>
      </c>
      <c r="C121" s="0" t="s">
        <v>45</v>
      </c>
      <c r="D121" s="0" t="s">
        <v>46</v>
      </c>
      <c r="E121" s="0" t="s">
        <v>91</v>
      </c>
      <c r="F121" s="0" t="s">
        <v>112</v>
      </c>
      <c r="G121" s="0" t="s">
        <v>56</v>
      </c>
      <c r="H121" s="0" t="s">
        <v>56</v>
      </c>
      <c r="I121" s="0" t="s">
        <v>56</v>
      </c>
      <c r="J121" s="0" t="s">
        <v>56</v>
      </c>
      <c r="K121" s="0" t="s">
        <v>56</v>
      </c>
      <c r="L121" s="0" t="s">
        <v>56</v>
      </c>
      <c r="M121" s="0" t="s">
        <v>55</v>
      </c>
      <c r="N121" s="0" t="s">
        <v>56</v>
      </c>
      <c r="O121" s="0" t="s">
        <v>55</v>
      </c>
      <c r="P121" s="0" t="s">
        <v>72</v>
      </c>
      <c r="Q121" s="0" t="s">
        <v>148</v>
      </c>
      <c r="R121" s="0" t="n">
        <v>3</v>
      </c>
      <c r="S121" s="0" t="s">
        <v>214</v>
      </c>
      <c r="T121" s="0" t="s">
        <v>215</v>
      </c>
      <c r="U121" s="0" t="s">
        <v>55</v>
      </c>
      <c r="V121" s="0" t="s">
        <v>56</v>
      </c>
      <c r="W121" s="0" t="str">
        <f aca="false">IF(B121&lt;&gt;"Yes","Excluded",IF(R121&gt;=9,"Promoter",IF(R121&gt;=7,"Passive","Detractor")))</f>
        <v>Excluded</v>
      </c>
    </row>
    <row r="122" customFormat="false" ht="15" hidden="false" customHeight="false" outlineLevel="0" collapsed="false">
      <c r="A122" s="0" t="s">
        <v>326</v>
      </c>
      <c r="B122" s="0" t="s">
        <v>44</v>
      </c>
      <c r="C122" s="0" t="s">
        <v>79</v>
      </c>
      <c r="D122" s="0" t="s">
        <v>90</v>
      </c>
      <c r="E122" s="0" t="s">
        <v>64</v>
      </c>
      <c r="F122" s="0" t="s">
        <v>65</v>
      </c>
      <c r="G122" s="0" t="s">
        <v>49</v>
      </c>
      <c r="H122" s="0" t="s">
        <v>129</v>
      </c>
      <c r="I122" s="0" t="s">
        <v>83</v>
      </c>
      <c r="J122" s="0" t="s">
        <v>68</v>
      </c>
      <c r="K122" s="0" t="s">
        <v>53</v>
      </c>
      <c r="L122" s="0" t="s">
        <v>103</v>
      </c>
      <c r="M122" s="0" t="s">
        <v>44</v>
      </c>
      <c r="N122" s="0" t="s">
        <v>71</v>
      </c>
      <c r="O122" s="0" t="s">
        <v>44</v>
      </c>
      <c r="P122" s="0" t="s">
        <v>72</v>
      </c>
      <c r="Q122" s="0" t="s">
        <v>73</v>
      </c>
      <c r="R122" s="0" t="n">
        <v>10</v>
      </c>
      <c r="S122" s="0" t="s">
        <v>58</v>
      </c>
      <c r="T122" s="0" t="s">
        <v>131</v>
      </c>
      <c r="U122" s="0" t="s">
        <v>55</v>
      </c>
      <c r="V122" s="0" t="s">
        <v>56</v>
      </c>
      <c r="W122" s="0" t="str">
        <f aca="false">IF(B122&lt;&gt;"Yes","Excluded",IF(R122&gt;=9,"Promoter",IF(R122&gt;=7,"Passive","Detractor")))</f>
        <v>Promoter</v>
      </c>
    </row>
    <row r="123" customFormat="false" ht="15" hidden="false" customHeight="false" outlineLevel="0" collapsed="false">
      <c r="A123" s="0" t="s">
        <v>327</v>
      </c>
      <c r="B123" s="0" t="s">
        <v>44</v>
      </c>
      <c r="C123" s="0" t="s">
        <v>45</v>
      </c>
      <c r="D123" s="0" t="s">
        <v>46</v>
      </c>
      <c r="E123" s="0" t="s">
        <v>91</v>
      </c>
      <c r="F123" s="0" t="s">
        <v>112</v>
      </c>
      <c r="G123" s="0" t="s">
        <v>118</v>
      </c>
      <c r="H123" s="0" t="s">
        <v>82</v>
      </c>
      <c r="I123" s="0" t="s">
        <v>51</v>
      </c>
      <c r="J123" s="0" t="s">
        <v>52</v>
      </c>
      <c r="K123" s="0" t="s">
        <v>84</v>
      </c>
      <c r="L123" s="0" t="s">
        <v>54</v>
      </c>
      <c r="M123" s="0" t="s">
        <v>44</v>
      </c>
      <c r="N123" s="0" t="s">
        <v>134</v>
      </c>
      <c r="O123" s="0" t="s">
        <v>44</v>
      </c>
      <c r="P123" s="0" t="s">
        <v>44</v>
      </c>
      <c r="Q123" s="0" t="s">
        <v>73</v>
      </c>
      <c r="R123" s="0" t="n">
        <v>9</v>
      </c>
      <c r="S123" s="0" t="s">
        <v>98</v>
      </c>
      <c r="T123" s="0" t="s">
        <v>141</v>
      </c>
      <c r="U123" s="0" t="s">
        <v>55</v>
      </c>
      <c r="V123" s="0" t="s">
        <v>56</v>
      </c>
      <c r="W123" s="0" t="str">
        <f aca="false">IF(B123&lt;&gt;"Yes","Excluded",IF(R123&gt;=9,"Promoter",IF(R123&gt;=7,"Passive","Detractor")))</f>
        <v>Promoter</v>
      </c>
    </row>
    <row r="124" customFormat="false" ht="15" hidden="false" customHeight="false" outlineLevel="0" collapsed="false">
      <c r="A124" s="0" t="s">
        <v>328</v>
      </c>
      <c r="B124" s="0" t="s">
        <v>44</v>
      </c>
      <c r="C124" s="0" t="s">
        <v>89</v>
      </c>
      <c r="D124" s="0" t="s">
        <v>90</v>
      </c>
      <c r="E124" s="0" t="s">
        <v>80</v>
      </c>
      <c r="F124" s="0" t="s">
        <v>117</v>
      </c>
      <c r="G124" s="0" t="s">
        <v>313</v>
      </c>
      <c r="H124" s="0" t="s">
        <v>138</v>
      </c>
      <c r="I124" s="0" t="s">
        <v>51</v>
      </c>
      <c r="J124" s="0" t="s">
        <v>167</v>
      </c>
      <c r="K124" s="0" t="s">
        <v>69</v>
      </c>
      <c r="L124" s="0" t="s">
        <v>103</v>
      </c>
      <c r="M124" s="0" t="s">
        <v>44</v>
      </c>
      <c r="N124" s="0" t="s">
        <v>134</v>
      </c>
      <c r="O124" s="0" t="s">
        <v>55</v>
      </c>
      <c r="P124" s="0" t="s">
        <v>44</v>
      </c>
      <c r="Q124" s="0" t="s">
        <v>145</v>
      </c>
      <c r="R124" s="0" t="n">
        <v>10</v>
      </c>
      <c r="S124" s="0" t="s">
        <v>58</v>
      </c>
      <c r="T124" s="0" t="s">
        <v>87</v>
      </c>
      <c r="U124" s="0" t="s">
        <v>76</v>
      </c>
      <c r="V124" s="0" t="s">
        <v>107</v>
      </c>
      <c r="W124" s="0" t="str">
        <f aca="false">IF(B124&lt;&gt;"Yes","Excluded",IF(R124&gt;=9,"Promoter",IF(R124&gt;=7,"Passive","Detractor")))</f>
        <v>Promoter</v>
      </c>
    </row>
    <row r="125" customFormat="false" ht="15" hidden="false" customHeight="false" outlineLevel="0" collapsed="false">
      <c r="A125" s="0" t="s">
        <v>329</v>
      </c>
      <c r="B125" s="0" t="s">
        <v>44</v>
      </c>
      <c r="C125" s="0" t="s">
        <v>63</v>
      </c>
      <c r="D125" s="0" t="s">
        <v>90</v>
      </c>
      <c r="E125" s="0" t="s">
        <v>227</v>
      </c>
      <c r="F125" s="0" t="s">
        <v>117</v>
      </c>
      <c r="G125" s="0" t="s">
        <v>242</v>
      </c>
      <c r="H125" s="0" t="s">
        <v>67</v>
      </c>
      <c r="I125" s="0" t="s">
        <v>144</v>
      </c>
      <c r="J125" s="0" t="s">
        <v>167</v>
      </c>
      <c r="K125" s="0" t="s">
        <v>84</v>
      </c>
      <c r="L125" s="0" t="s">
        <v>54</v>
      </c>
      <c r="M125" s="0" t="s">
        <v>55</v>
      </c>
      <c r="N125" s="0" t="s">
        <v>56</v>
      </c>
      <c r="O125" s="0" t="s">
        <v>55</v>
      </c>
      <c r="P125" s="0" t="s">
        <v>72</v>
      </c>
      <c r="Q125" s="0" t="s">
        <v>148</v>
      </c>
      <c r="R125" s="0" t="n">
        <v>5</v>
      </c>
      <c r="S125" s="0" t="s">
        <v>125</v>
      </c>
      <c r="T125" s="0" t="s">
        <v>87</v>
      </c>
      <c r="U125" s="0" t="s">
        <v>55</v>
      </c>
      <c r="V125" s="0" t="s">
        <v>56</v>
      </c>
      <c r="W125" s="0" t="str">
        <f aca="false">IF(B125&lt;&gt;"Yes","Excluded",IF(R125&gt;=9,"Promoter",IF(R125&gt;=7,"Passive","Detractor")))</f>
        <v>Detractor</v>
      </c>
    </row>
    <row r="126" customFormat="false" ht="15" hidden="false" customHeight="false" outlineLevel="0" collapsed="false">
      <c r="A126" s="0" t="s">
        <v>330</v>
      </c>
      <c r="B126" s="0" t="s">
        <v>44</v>
      </c>
      <c r="C126" s="0" t="s">
        <v>45</v>
      </c>
      <c r="D126" s="0" t="s">
        <v>46</v>
      </c>
      <c r="E126" s="0" t="s">
        <v>80</v>
      </c>
      <c r="F126" s="0" t="s">
        <v>48</v>
      </c>
      <c r="G126" s="0" t="s">
        <v>66</v>
      </c>
      <c r="H126" s="0" t="s">
        <v>67</v>
      </c>
      <c r="I126" s="0" t="s">
        <v>144</v>
      </c>
      <c r="J126" s="0" t="s">
        <v>114</v>
      </c>
      <c r="K126" s="0" t="s">
        <v>53</v>
      </c>
      <c r="L126" s="0" t="s">
        <v>70</v>
      </c>
      <c r="M126" s="0" t="s">
        <v>44</v>
      </c>
      <c r="N126" s="0" t="s">
        <v>134</v>
      </c>
      <c r="O126" s="0" t="s">
        <v>55</v>
      </c>
      <c r="P126" s="0" t="s">
        <v>72</v>
      </c>
      <c r="Q126" s="0" t="s">
        <v>331</v>
      </c>
      <c r="R126" s="0" t="n">
        <v>7</v>
      </c>
      <c r="S126" s="0" t="s">
        <v>86</v>
      </c>
      <c r="T126" s="0" t="s">
        <v>87</v>
      </c>
      <c r="U126" s="0" t="s">
        <v>55</v>
      </c>
      <c r="V126" s="0" t="s">
        <v>56</v>
      </c>
      <c r="W126" s="0" t="str">
        <f aca="false">IF(B126&lt;&gt;"Yes","Excluded",IF(R126&gt;=9,"Promoter",IF(R126&gt;=7,"Passive","Detractor")))</f>
        <v>Passive</v>
      </c>
    </row>
    <row r="127" customFormat="false" ht="15" hidden="false" customHeight="false" outlineLevel="0" collapsed="false">
      <c r="A127" s="0" t="s">
        <v>332</v>
      </c>
      <c r="B127" s="0" t="s">
        <v>44</v>
      </c>
      <c r="C127" s="0" t="s">
        <v>133</v>
      </c>
      <c r="D127" s="0" t="s">
        <v>46</v>
      </c>
      <c r="E127" s="0" t="s">
        <v>80</v>
      </c>
      <c r="F127" s="0" t="s">
        <v>117</v>
      </c>
      <c r="G127" s="0" t="s">
        <v>66</v>
      </c>
      <c r="H127" s="0" t="s">
        <v>67</v>
      </c>
      <c r="I127" s="0" t="s">
        <v>51</v>
      </c>
      <c r="J127" s="0" t="s">
        <v>52</v>
      </c>
      <c r="K127" s="0" t="s">
        <v>84</v>
      </c>
      <c r="L127" s="0" t="s">
        <v>54</v>
      </c>
      <c r="M127" s="0" t="s">
        <v>44</v>
      </c>
      <c r="N127" s="0" t="s">
        <v>119</v>
      </c>
      <c r="O127" s="0" t="s">
        <v>55</v>
      </c>
      <c r="P127" s="0" t="s">
        <v>44</v>
      </c>
      <c r="Q127" s="0" t="s">
        <v>73</v>
      </c>
      <c r="R127" s="0" t="n">
        <v>7</v>
      </c>
      <c r="S127" s="0" t="s">
        <v>159</v>
      </c>
      <c r="T127" s="0" t="s">
        <v>87</v>
      </c>
      <c r="U127" s="0" t="s">
        <v>76</v>
      </c>
      <c r="V127" s="0" t="s">
        <v>107</v>
      </c>
      <c r="W127" s="0" t="str">
        <f aca="false">IF(B127&lt;&gt;"Yes","Excluded",IF(R127&gt;=9,"Promoter",IF(R127&gt;=7,"Passive","Detractor")))</f>
        <v>Passive</v>
      </c>
    </row>
    <row r="128" customFormat="false" ht="15" hidden="false" customHeight="false" outlineLevel="0" collapsed="false">
      <c r="A128" s="0" t="s">
        <v>333</v>
      </c>
      <c r="B128" s="0" t="s">
        <v>44</v>
      </c>
      <c r="C128" s="0" t="s">
        <v>133</v>
      </c>
      <c r="D128" s="0" t="s">
        <v>46</v>
      </c>
      <c r="E128" s="0" t="s">
        <v>80</v>
      </c>
      <c r="F128" s="0" t="s">
        <v>117</v>
      </c>
      <c r="G128" s="0" t="s">
        <v>81</v>
      </c>
      <c r="H128" s="0" t="s">
        <v>67</v>
      </c>
      <c r="I128" s="0" t="s">
        <v>95</v>
      </c>
      <c r="J128" s="0" t="s">
        <v>68</v>
      </c>
      <c r="K128" s="0" t="s">
        <v>69</v>
      </c>
      <c r="L128" s="0" t="s">
        <v>70</v>
      </c>
      <c r="M128" s="0" t="s">
        <v>55</v>
      </c>
      <c r="N128" s="0" t="s">
        <v>56</v>
      </c>
      <c r="O128" s="0" t="s">
        <v>55</v>
      </c>
      <c r="P128" s="0" t="s">
        <v>44</v>
      </c>
      <c r="Q128" s="0" t="s">
        <v>145</v>
      </c>
      <c r="R128" s="0" t="n">
        <v>4</v>
      </c>
      <c r="S128" s="0" t="s">
        <v>176</v>
      </c>
      <c r="T128" s="0" t="s">
        <v>87</v>
      </c>
      <c r="U128" s="0" t="s">
        <v>55</v>
      </c>
      <c r="V128" s="0" t="s">
        <v>56</v>
      </c>
      <c r="W128" s="0" t="str">
        <f aca="false">IF(B128&lt;&gt;"Yes","Excluded",IF(R128&gt;=9,"Promoter",IF(R128&gt;=7,"Passive","Detractor")))</f>
        <v>Detractor</v>
      </c>
    </row>
    <row r="129" customFormat="false" ht="15" hidden="false" customHeight="false" outlineLevel="0" collapsed="false">
      <c r="A129" s="0" t="s">
        <v>334</v>
      </c>
      <c r="B129" s="0" t="s">
        <v>44</v>
      </c>
      <c r="C129" s="0" t="s">
        <v>45</v>
      </c>
      <c r="D129" s="0" t="s">
        <v>46</v>
      </c>
      <c r="E129" s="0" t="s">
        <v>91</v>
      </c>
      <c r="F129" s="0" t="s">
        <v>112</v>
      </c>
      <c r="G129" s="0" t="s">
        <v>101</v>
      </c>
      <c r="H129" s="0" t="s">
        <v>50</v>
      </c>
      <c r="I129" s="0" t="s">
        <v>144</v>
      </c>
      <c r="J129" s="0" t="s">
        <v>52</v>
      </c>
      <c r="K129" s="0" t="s">
        <v>53</v>
      </c>
      <c r="L129" s="0" t="s">
        <v>103</v>
      </c>
      <c r="M129" s="0" t="s">
        <v>55</v>
      </c>
      <c r="N129" s="0" t="s">
        <v>56</v>
      </c>
      <c r="O129" s="0" t="s">
        <v>44</v>
      </c>
      <c r="P129" s="0" t="s">
        <v>55</v>
      </c>
      <c r="Q129" s="0" t="s">
        <v>217</v>
      </c>
      <c r="R129" s="0" t="n">
        <v>8</v>
      </c>
      <c r="S129" s="0" t="s">
        <v>159</v>
      </c>
      <c r="T129" s="0" t="s">
        <v>59</v>
      </c>
      <c r="U129" s="0" t="s">
        <v>55</v>
      </c>
      <c r="V129" s="0" t="s">
        <v>56</v>
      </c>
      <c r="W129" s="0" t="str">
        <f aca="false">IF(B129&lt;&gt;"Yes","Excluded",IF(R129&gt;=9,"Promoter",IF(R129&gt;=7,"Passive","Detractor")))</f>
        <v>Passive</v>
      </c>
    </row>
    <row r="130" customFormat="false" ht="15" hidden="false" customHeight="false" outlineLevel="0" collapsed="false">
      <c r="A130" s="0" t="s">
        <v>335</v>
      </c>
      <c r="B130" s="0" t="s">
        <v>44</v>
      </c>
      <c r="C130" s="0" t="s">
        <v>45</v>
      </c>
      <c r="D130" s="0" t="s">
        <v>90</v>
      </c>
      <c r="E130" s="0" t="s">
        <v>227</v>
      </c>
      <c r="F130" s="0" t="s">
        <v>48</v>
      </c>
      <c r="G130" s="0" t="s">
        <v>118</v>
      </c>
      <c r="H130" s="0" t="s">
        <v>129</v>
      </c>
      <c r="I130" s="0" t="s">
        <v>83</v>
      </c>
      <c r="J130" s="0" t="s">
        <v>114</v>
      </c>
      <c r="K130" s="0" t="s">
        <v>53</v>
      </c>
      <c r="L130" s="0" t="s">
        <v>54</v>
      </c>
      <c r="M130" s="0" t="s">
        <v>55</v>
      </c>
      <c r="N130" s="0" t="s">
        <v>56</v>
      </c>
      <c r="O130" s="0" t="s">
        <v>44</v>
      </c>
      <c r="P130" s="0" t="s">
        <v>72</v>
      </c>
      <c r="Q130" s="0" t="s">
        <v>109</v>
      </c>
      <c r="R130" s="0" t="n">
        <v>5</v>
      </c>
      <c r="S130" s="0" t="s">
        <v>136</v>
      </c>
      <c r="T130" s="0" t="s">
        <v>131</v>
      </c>
      <c r="U130" s="0" t="s">
        <v>76</v>
      </c>
      <c r="V130" s="0" t="s">
        <v>61</v>
      </c>
      <c r="W130" s="0" t="str">
        <f aca="false">IF(B130&lt;&gt;"Yes","Excluded",IF(R130&gt;=9,"Promoter",IF(R130&gt;=7,"Passive","Detractor")))</f>
        <v>Detractor</v>
      </c>
    </row>
    <row r="131" customFormat="false" ht="15" hidden="false" customHeight="false" outlineLevel="0" collapsed="false">
      <c r="A131" s="0" t="s">
        <v>336</v>
      </c>
      <c r="B131" s="0" t="s">
        <v>44</v>
      </c>
      <c r="C131" s="0" t="s">
        <v>63</v>
      </c>
      <c r="D131" s="0" t="s">
        <v>90</v>
      </c>
      <c r="E131" s="0" t="s">
        <v>80</v>
      </c>
      <c r="F131" s="0" t="s">
        <v>92</v>
      </c>
      <c r="G131" s="0" t="s">
        <v>161</v>
      </c>
      <c r="H131" s="0" t="s">
        <v>67</v>
      </c>
      <c r="I131" s="0" t="s">
        <v>51</v>
      </c>
      <c r="J131" s="0" t="s">
        <v>167</v>
      </c>
      <c r="K131" s="0" t="s">
        <v>84</v>
      </c>
      <c r="L131" s="0" t="s">
        <v>70</v>
      </c>
      <c r="M131" s="0" t="s">
        <v>44</v>
      </c>
      <c r="N131" s="0" t="s">
        <v>134</v>
      </c>
      <c r="O131" s="0" t="s">
        <v>55</v>
      </c>
      <c r="P131" s="0" t="s">
        <v>44</v>
      </c>
      <c r="Q131" s="0" t="s">
        <v>73</v>
      </c>
      <c r="R131" s="0" t="n">
        <v>8</v>
      </c>
      <c r="S131" s="0" t="s">
        <v>86</v>
      </c>
      <c r="T131" s="0" t="s">
        <v>141</v>
      </c>
      <c r="U131" s="0" t="s">
        <v>55</v>
      </c>
      <c r="V131" s="0" t="s">
        <v>56</v>
      </c>
      <c r="W131" s="0" t="str">
        <f aca="false">IF(B131&lt;&gt;"Yes","Excluded",IF(R131&gt;=9,"Promoter",IF(R131&gt;=7,"Passive","Detractor")))</f>
        <v>Passive</v>
      </c>
    </row>
    <row r="132" customFormat="false" ht="15" hidden="false" customHeight="false" outlineLevel="0" collapsed="false">
      <c r="A132" s="0" t="s">
        <v>337</v>
      </c>
      <c r="B132" s="0" t="s">
        <v>44</v>
      </c>
      <c r="C132" s="0" t="s">
        <v>45</v>
      </c>
      <c r="D132" s="0" t="s">
        <v>90</v>
      </c>
      <c r="E132" s="0" t="s">
        <v>80</v>
      </c>
      <c r="F132" s="0" t="s">
        <v>48</v>
      </c>
      <c r="G132" s="0" t="s">
        <v>338</v>
      </c>
      <c r="H132" s="0" t="s">
        <v>82</v>
      </c>
      <c r="I132" s="0" t="s">
        <v>51</v>
      </c>
      <c r="J132" s="0" t="s">
        <v>52</v>
      </c>
      <c r="K132" s="0" t="s">
        <v>84</v>
      </c>
      <c r="L132" s="0" t="s">
        <v>70</v>
      </c>
      <c r="M132" s="0" t="s">
        <v>55</v>
      </c>
      <c r="N132" s="0" t="s">
        <v>56</v>
      </c>
      <c r="O132" s="0" t="s">
        <v>55</v>
      </c>
      <c r="P132" s="0" t="s">
        <v>55</v>
      </c>
      <c r="Q132" s="0" t="s">
        <v>73</v>
      </c>
      <c r="R132" s="0" t="n">
        <v>8</v>
      </c>
      <c r="S132" s="0" t="s">
        <v>159</v>
      </c>
      <c r="T132" s="0" t="s">
        <v>59</v>
      </c>
      <c r="U132" s="0" t="s">
        <v>55</v>
      </c>
      <c r="V132" s="0" t="s">
        <v>56</v>
      </c>
      <c r="W132" s="0" t="str">
        <f aca="false">IF(B132&lt;&gt;"Yes","Excluded",IF(R132&gt;=9,"Promoter",IF(R132&gt;=7,"Passive","Detractor")))</f>
        <v>Passive</v>
      </c>
    </row>
    <row r="133" customFormat="false" ht="15" hidden="false" customHeight="false" outlineLevel="0" collapsed="false">
      <c r="A133" s="0" t="s">
        <v>339</v>
      </c>
      <c r="B133" s="0" t="s">
        <v>44</v>
      </c>
      <c r="C133" s="0" t="s">
        <v>45</v>
      </c>
      <c r="D133" s="0" t="s">
        <v>46</v>
      </c>
      <c r="E133" s="0" t="s">
        <v>80</v>
      </c>
      <c r="F133" s="0" t="s">
        <v>48</v>
      </c>
      <c r="G133" s="0" t="s">
        <v>66</v>
      </c>
      <c r="H133" s="0" t="s">
        <v>138</v>
      </c>
      <c r="I133" s="0" t="s">
        <v>51</v>
      </c>
      <c r="J133" s="0" t="s">
        <v>96</v>
      </c>
      <c r="K133" s="0" t="s">
        <v>69</v>
      </c>
      <c r="L133" s="0" t="s">
        <v>54</v>
      </c>
      <c r="M133" s="0" t="s">
        <v>55</v>
      </c>
      <c r="N133" s="0" t="s">
        <v>56</v>
      </c>
      <c r="O133" s="0" t="s">
        <v>55</v>
      </c>
      <c r="P133" s="0" t="s">
        <v>44</v>
      </c>
      <c r="Q133" s="0" t="s">
        <v>153</v>
      </c>
      <c r="R133" s="0" t="n">
        <v>10</v>
      </c>
      <c r="S133" s="0" t="s">
        <v>150</v>
      </c>
      <c r="T133" s="0" t="s">
        <v>75</v>
      </c>
      <c r="U133" s="0" t="s">
        <v>55</v>
      </c>
      <c r="V133" s="0" t="s">
        <v>56</v>
      </c>
      <c r="W133" s="0" t="str">
        <f aca="false">IF(B133&lt;&gt;"Yes","Excluded",IF(R133&gt;=9,"Promoter",IF(R133&gt;=7,"Passive","Detractor")))</f>
        <v>Promoter</v>
      </c>
    </row>
    <row r="134" customFormat="false" ht="15" hidden="false" customHeight="false" outlineLevel="0" collapsed="false">
      <c r="A134" s="0" t="s">
        <v>340</v>
      </c>
      <c r="B134" s="0" t="s">
        <v>44</v>
      </c>
      <c r="C134" s="0" t="s">
        <v>45</v>
      </c>
      <c r="D134" s="0" t="s">
        <v>90</v>
      </c>
      <c r="E134" s="0" t="s">
        <v>64</v>
      </c>
      <c r="F134" s="0" t="s">
        <v>48</v>
      </c>
      <c r="G134" s="0" t="s">
        <v>101</v>
      </c>
      <c r="H134" s="0" t="s">
        <v>82</v>
      </c>
      <c r="I134" s="0" t="s">
        <v>51</v>
      </c>
      <c r="J134" s="0" t="s">
        <v>114</v>
      </c>
      <c r="K134" s="0" t="s">
        <v>53</v>
      </c>
      <c r="L134" s="0" t="s">
        <v>103</v>
      </c>
      <c r="M134" s="0" t="s">
        <v>55</v>
      </c>
      <c r="N134" s="0" t="s">
        <v>56</v>
      </c>
      <c r="O134" s="0" t="s">
        <v>55</v>
      </c>
      <c r="P134" s="0" t="s">
        <v>72</v>
      </c>
      <c r="Q134" s="0" t="s">
        <v>109</v>
      </c>
      <c r="R134" s="0" t="n">
        <v>7</v>
      </c>
      <c r="S134" s="0" t="s">
        <v>86</v>
      </c>
      <c r="T134" s="0" t="s">
        <v>106</v>
      </c>
      <c r="U134" s="0" t="s">
        <v>76</v>
      </c>
      <c r="V134" s="0" t="s">
        <v>107</v>
      </c>
      <c r="W134" s="0" t="str">
        <f aca="false">IF(B134&lt;&gt;"Yes","Excluded",IF(R134&gt;=9,"Promoter",IF(R134&gt;=7,"Passive","Detractor")))</f>
        <v>Passive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5" t="s">
        <v>341</v>
      </c>
      <c r="B1" s="5" t="s">
        <v>342</v>
      </c>
    </row>
    <row r="2" customFormat="false" ht="15" hidden="false" customHeight="false" outlineLevel="0" collapsed="false">
      <c r="A2" s="3" t="s">
        <v>343</v>
      </c>
      <c r="B2" s="3" t="s">
        <v>344</v>
      </c>
    </row>
    <row r="3" customFormat="false" ht="15" hidden="false" customHeight="false" outlineLevel="0" collapsed="false">
      <c r="A3" s="3" t="s">
        <v>21</v>
      </c>
      <c r="B3" s="3" t="s">
        <v>345</v>
      </c>
    </row>
    <row r="4" customFormat="false" ht="15" hidden="false" customHeight="false" outlineLevel="0" collapsed="false">
      <c r="A4" s="3" t="s">
        <v>22</v>
      </c>
      <c r="B4" s="3" t="s">
        <v>346</v>
      </c>
    </row>
    <row r="5" customFormat="false" ht="15" hidden="false" customHeight="false" outlineLevel="0" collapsed="false">
      <c r="A5" s="3" t="s">
        <v>23</v>
      </c>
      <c r="B5" s="3" t="s">
        <v>347</v>
      </c>
    </row>
    <row r="6" customFormat="false" ht="15" hidden="false" customHeight="false" outlineLevel="0" collapsed="false">
      <c r="A6" s="3" t="s">
        <v>24</v>
      </c>
      <c r="B6" s="3" t="s">
        <v>348</v>
      </c>
    </row>
    <row r="7" customFormat="false" ht="15" hidden="false" customHeight="false" outlineLevel="0" collapsed="false">
      <c r="A7" s="3" t="s">
        <v>25</v>
      </c>
      <c r="B7" s="3" t="s">
        <v>349</v>
      </c>
    </row>
    <row r="8" customFormat="false" ht="15" hidden="false" customHeight="false" outlineLevel="0" collapsed="false">
      <c r="A8" s="3" t="s">
        <v>26</v>
      </c>
      <c r="B8" s="3" t="s">
        <v>350</v>
      </c>
    </row>
    <row r="9" customFormat="false" ht="15" hidden="false" customHeight="false" outlineLevel="0" collapsed="false">
      <c r="A9" s="3" t="s">
        <v>27</v>
      </c>
      <c r="B9" s="3" t="s">
        <v>351</v>
      </c>
    </row>
    <row r="10" customFormat="false" ht="15" hidden="false" customHeight="false" outlineLevel="0" collapsed="false">
      <c r="A10" s="3" t="s">
        <v>28</v>
      </c>
      <c r="B10" s="3" t="s">
        <v>352</v>
      </c>
    </row>
    <row r="11" customFormat="false" ht="15" hidden="false" customHeight="false" outlineLevel="0" collapsed="false">
      <c r="A11" s="3" t="s">
        <v>29</v>
      </c>
      <c r="B11" s="3" t="s">
        <v>353</v>
      </c>
    </row>
    <row r="12" customFormat="false" ht="15" hidden="false" customHeight="false" outlineLevel="0" collapsed="false">
      <c r="A12" s="3" t="s">
        <v>30</v>
      </c>
      <c r="B12" s="3" t="s">
        <v>354</v>
      </c>
    </row>
    <row r="13" customFormat="false" ht="15" hidden="false" customHeight="false" outlineLevel="0" collapsed="false">
      <c r="A13" s="3" t="s">
        <v>31</v>
      </c>
      <c r="B13" s="3" t="s">
        <v>355</v>
      </c>
    </row>
    <row r="14" customFormat="false" ht="15" hidden="false" customHeight="false" outlineLevel="0" collapsed="false">
      <c r="A14" s="3" t="s">
        <v>32</v>
      </c>
      <c r="B14" s="3" t="s">
        <v>356</v>
      </c>
    </row>
    <row r="15" customFormat="false" ht="15" hidden="false" customHeight="false" outlineLevel="0" collapsed="false">
      <c r="A15" s="3" t="s">
        <v>33</v>
      </c>
      <c r="B15" s="3" t="s">
        <v>357</v>
      </c>
    </row>
    <row r="16" customFormat="false" ht="15" hidden="false" customHeight="false" outlineLevel="0" collapsed="false">
      <c r="A16" s="3" t="s">
        <v>34</v>
      </c>
      <c r="B16" s="3" t="s">
        <v>358</v>
      </c>
    </row>
    <row r="17" customFormat="false" ht="15" hidden="false" customHeight="false" outlineLevel="0" collapsed="false">
      <c r="A17" s="3" t="s">
        <v>35</v>
      </c>
      <c r="B17" s="3" t="s">
        <v>359</v>
      </c>
    </row>
    <row r="18" customFormat="false" ht="15" hidden="false" customHeight="false" outlineLevel="0" collapsed="false">
      <c r="A18" s="3" t="s">
        <v>36</v>
      </c>
      <c r="B18" s="3" t="s">
        <v>360</v>
      </c>
    </row>
    <row r="19" customFormat="false" ht="15" hidden="false" customHeight="false" outlineLevel="0" collapsed="false">
      <c r="A19" s="3" t="s">
        <v>37</v>
      </c>
      <c r="B19" s="3" t="s">
        <v>361</v>
      </c>
    </row>
    <row r="20" customFormat="false" ht="15" hidden="false" customHeight="false" outlineLevel="0" collapsed="false">
      <c r="A20" s="3" t="s">
        <v>38</v>
      </c>
      <c r="B20" s="3" t="s">
        <v>362</v>
      </c>
    </row>
    <row r="21" customFormat="false" ht="15" hidden="false" customHeight="false" outlineLevel="0" collapsed="false">
      <c r="A21" s="3" t="s">
        <v>39</v>
      </c>
      <c r="B21" s="3" t="s">
        <v>363</v>
      </c>
    </row>
    <row r="22" customFormat="false" ht="15" hidden="false" customHeight="false" outlineLevel="0" collapsed="false">
      <c r="A22" s="3" t="s">
        <v>40</v>
      </c>
      <c r="B22" s="3" t="s">
        <v>364</v>
      </c>
    </row>
    <row r="23" customFormat="false" ht="15" hidden="false" customHeight="false" outlineLevel="0" collapsed="false">
      <c r="A23" s="3" t="s">
        <v>41</v>
      </c>
      <c r="B23" s="3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8" min="4" style="0" width="4"/>
  </cols>
  <sheetData>
    <row r="2" customFormat="false" ht="19.7" hidden="false" customHeight="false" outlineLevel="0" collapsed="false">
      <c r="B2" s="1" t="s">
        <v>366</v>
      </c>
    </row>
    <row r="4" customFormat="false" ht="48" hidden="false" customHeight="true" outlineLevel="0" collapsed="false">
      <c r="B4" s="6" t="s">
        <v>367</v>
      </c>
      <c r="C4" s="6"/>
      <c r="D4" s="6"/>
      <c r="E4" s="6"/>
      <c r="F4" s="6"/>
      <c r="G4" s="6"/>
    </row>
    <row r="7" customFormat="false" ht="15" hidden="false" customHeight="false" outlineLevel="0" collapsed="false">
      <c r="B7" s="7" t="s">
        <v>368</v>
      </c>
      <c r="C7" s="3" t="n">
        <f aca="false">COUNTIF('Raw Data'!$B$2:$B$134,"Yes")</f>
        <v>123</v>
      </c>
    </row>
    <row r="8" customFormat="false" ht="15" hidden="false" customHeight="false" outlineLevel="0" collapsed="false">
      <c r="B8" s="7" t="s">
        <v>369</v>
      </c>
      <c r="C8" s="3" t="n">
        <f aca="false">COUNTIF('Raw Data'!$W$2:$W$134,"Promoter")</f>
        <v>50</v>
      </c>
    </row>
    <row r="9" customFormat="false" ht="15" hidden="false" customHeight="false" outlineLevel="0" collapsed="false">
      <c r="B9" s="7" t="s">
        <v>370</v>
      </c>
      <c r="C9" s="3" t="n">
        <f aca="false">COUNTIF('Raw Data'!$W$2:$W$134,"Passive")</f>
        <v>37</v>
      </c>
    </row>
    <row r="10" customFormat="false" ht="15" hidden="false" customHeight="false" outlineLevel="0" collapsed="false">
      <c r="B10" s="7" t="s">
        <v>371</v>
      </c>
      <c r="C10" s="3" t="n">
        <f aca="false">COUNTIF('Raw Data'!$W$2:$W$134,"Detractor")</f>
        <v>36</v>
      </c>
    </row>
    <row r="11" customFormat="false" ht="15" hidden="false" customHeight="false" outlineLevel="0" collapsed="false">
      <c r="B11" s="7" t="s">
        <v>372</v>
      </c>
      <c r="C11" s="8" t="n">
        <f aca="false">(C8-C10)/C7*100</f>
        <v>11.3821138211382</v>
      </c>
    </row>
    <row r="14" customFormat="false" ht="15" hidden="false" customHeight="false" outlineLevel="0" collapsed="false">
      <c r="B14" s="9" t="s">
        <v>373</v>
      </c>
    </row>
    <row r="15" customFormat="false" ht="49.5" hidden="false" customHeight="true" outlineLevel="0" collapsed="false">
      <c r="B15" s="6" t="s">
        <v>374</v>
      </c>
      <c r="C15" s="6"/>
      <c r="D15" s="6"/>
      <c r="E15" s="6"/>
      <c r="F15" s="6"/>
      <c r="G15" s="6"/>
    </row>
  </sheetData>
  <mergeCells count="2">
    <mergeCell ref="B4:G4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10" min="7" style="0" width="10"/>
  </cols>
  <sheetData>
    <row r="2" customFormat="false" ht="19.7" hidden="false" customHeight="false" outlineLevel="0" collapsed="false">
      <c r="B2" s="1" t="s">
        <v>375</v>
      </c>
    </row>
    <row r="4" customFormat="false" ht="33.75" hidden="false" customHeight="true" outlineLevel="0" collapsed="false">
      <c r="B4" s="6" t="s">
        <v>376</v>
      </c>
      <c r="C4" s="6"/>
      <c r="D4" s="6"/>
      <c r="E4" s="6"/>
      <c r="F4" s="6"/>
      <c r="G4" s="6"/>
      <c r="H4" s="6"/>
      <c r="I4" s="6"/>
    </row>
    <row r="7" customFormat="false" ht="41.75" hidden="false" customHeight="false" outlineLevel="0" collapsed="false">
      <c r="B7" s="4" t="s">
        <v>377</v>
      </c>
      <c r="C7" s="4" t="s">
        <v>378</v>
      </c>
      <c r="D7" s="4" t="s">
        <v>379</v>
      </c>
      <c r="E7" s="4" t="s">
        <v>380</v>
      </c>
      <c r="F7" s="4" t="s">
        <v>381</v>
      </c>
      <c r="G7" s="4" t="s">
        <v>382</v>
      </c>
      <c r="H7" s="4" t="s">
        <v>383</v>
      </c>
      <c r="I7" s="4" t="s">
        <v>384</v>
      </c>
      <c r="J7" s="4" t="s">
        <v>385</v>
      </c>
    </row>
    <row r="8" customFormat="false" ht="15" hidden="false" customHeight="false" outlineLevel="0" collapsed="false">
      <c r="B8" s="10" t="s">
        <v>49</v>
      </c>
      <c r="C8" s="11" t="n">
        <f aca="false">COUNTIFS('Raw Data'!$G$2:$G$134,"*India Today*",'Raw Data'!$B$2:$B$134,"Yes")</f>
        <v>46</v>
      </c>
      <c r="D8" s="11" t="n">
        <f aca="false">COUNTIFS('Raw Data'!$G$2:$G$134,"*India Today*",'Raw Data'!$W$2:$W$134,"Promoter")</f>
        <v>17</v>
      </c>
      <c r="E8" s="11" t="n">
        <f aca="false">COUNTIFS('Raw Data'!$G$2:$G$134,"*India Today*",'Raw Data'!$W$2:$W$134,"Passive")</f>
        <v>19</v>
      </c>
      <c r="F8" s="11" t="n">
        <f aca="false">COUNTIFS('Raw Data'!$G$2:$G$134,"*India Today*",'Raw Data'!$W$2:$W$134,"Detractor")</f>
        <v>10</v>
      </c>
      <c r="G8" s="12" t="n">
        <f aca="false">(D8-F8)/C8*100</f>
        <v>15.2173913043478</v>
      </c>
      <c r="H8" s="12" t="n">
        <f aca="false">COUNTIFS('Raw Data'!$G$2:$G$134,"*India Today*",'Raw Data'!$M$2:$M$134,"Yes")/C8*100</f>
        <v>39.1304347826087</v>
      </c>
      <c r="I8" s="12" t="n">
        <f aca="false">COUNTIFS('Raw Data'!$G$2:$G$134,"*India Today*",'Raw Data'!$P$2:$P$134,"Yes")/C8*100</f>
        <v>47.8260869565217</v>
      </c>
      <c r="J8" s="12" t="n">
        <f aca="false">COUNTIFS('Raw Data'!$G$2:$G$134,"*India Today*",'Raw Data'!$O$2:$O$134,"Yes")/C8*100</f>
        <v>30.4347826086957</v>
      </c>
    </row>
    <row r="9" customFormat="false" ht="15" hidden="false" customHeight="false" outlineLevel="0" collapsed="false">
      <c r="B9" s="10" t="s">
        <v>66</v>
      </c>
      <c r="C9" s="11" t="n">
        <f aca="false">COUNTIFS('Raw Data'!$G$2:$G$134,"*Business Today*",'Raw Data'!$B$2:$B$134,"Yes")</f>
        <v>45</v>
      </c>
      <c r="D9" s="11" t="n">
        <f aca="false">COUNTIFS('Raw Data'!$G$2:$G$134,"*Business Today*",'Raw Data'!$W$2:$W$134,"Promoter")</f>
        <v>15</v>
      </c>
      <c r="E9" s="11" t="n">
        <f aca="false">COUNTIFS('Raw Data'!$G$2:$G$134,"*Business Today*",'Raw Data'!$W$2:$W$134,"Passive")</f>
        <v>14</v>
      </c>
      <c r="F9" s="11" t="n">
        <f aca="false">COUNTIFS('Raw Data'!$G$2:$G$134,"*Business Today*",'Raw Data'!$W$2:$W$134,"Detractor")</f>
        <v>16</v>
      </c>
      <c r="G9" s="12" t="n">
        <f aca="false">(D9-F9)/C9*100</f>
        <v>-2.22222222222222</v>
      </c>
      <c r="H9" s="12" t="n">
        <f aca="false">COUNTIFS('Raw Data'!$G$2:$G$134,"*Business Today*",'Raw Data'!$M$2:$M$134,"Yes")/C9*100</f>
        <v>53.3333333333333</v>
      </c>
      <c r="I9" s="12" t="n">
        <f aca="false">COUNTIFS('Raw Data'!$G$2:$G$134,"*Business Today*",'Raw Data'!$P$2:$P$134,"Yes")/C9*100</f>
        <v>53.3333333333333</v>
      </c>
      <c r="J9" s="12" t="n">
        <f aca="false">COUNTIFS('Raw Data'!$G$2:$G$134,"*Business Today*",'Raw Data'!$O$2:$O$134,"Yes")/C9*100</f>
        <v>17.7777777777778</v>
      </c>
    </row>
    <row r="10" customFormat="false" ht="15" hidden="false" customHeight="false" outlineLevel="0" collapsed="false">
      <c r="B10" s="10" t="s">
        <v>101</v>
      </c>
      <c r="C10" s="11" t="n">
        <f aca="false">COUNTIFS('Raw Data'!$G$2:$G$134,"*Outlook*",'Raw Data'!$B$2:$B$134,"Yes")</f>
        <v>30</v>
      </c>
      <c r="D10" s="11" t="n">
        <f aca="false">COUNTIFS('Raw Data'!$G$2:$G$134,"*Outlook*",'Raw Data'!$W$2:$W$134,"Promoter")</f>
        <v>11</v>
      </c>
      <c r="E10" s="11" t="n">
        <f aca="false">COUNTIFS('Raw Data'!$G$2:$G$134,"*Outlook*",'Raw Data'!$W$2:$W$134,"Passive")</f>
        <v>12</v>
      </c>
      <c r="F10" s="11" t="n">
        <f aca="false">COUNTIFS('Raw Data'!$G$2:$G$134,"*Outlook*",'Raw Data'!$W$2:$W$134,"Detractor")</f>
        <v>7</v>
      </c>
      <c r="G10" s="12" t="n">
        <f aca="false">(D10-F10)/C10*100</f>
        <v>13.3333333333333</v>
      </c>
      <c r="H10" s="12" t="n">
        <f aca="false">COUNTIFS('Raw Data'!$G$2:$G$134,"*Outlook*",'Raw Data'!$M$2:$M$134,"Yes")/C10*100</f>
        <v>26.6666666666667</v>
      </c>
      <c r="I10" s="12" t="n">
        <f aca="false">COUNTIFS('Raw Data'!$G$2:$G$134,"*Outlook*",'Raw Data'!$P$2:$P$134,"Yes")/C10*100</f>
        <v>50</v>
      </c>
      <c r="J10" s="12" t="n">
        <f aca="false">COUNTIFS('Raw Data'!$G$2:$G$134,"*Outlook*",'Raw Data'!$O$2:$O$134,"Yes")/C10*100</f>
        <v>20</v>
      </c>
    </row>
    <row r="11" customFormat="false" ht="15" hidden="false" customHeight="false" outlineLevel="0" collapsed="false">
      <c r="B11" s="10" t="s">
        <v>113</v>
      </c>
      <c r="C11" s="11" t="n">
        <f aca="false">COUNTIFS('Raw Data'!$G$2:$G$134,"*The Week*",'Raw Data'!$B$2:$B$134,"Yes")</f>
        <v>26</v>
      </c>
      <c r="D11" s="11" t="n">
        <f aca="false">COUNTIFS('Raw Data'!$G$2:$G$134,"*The Week*",'Raw Data'!$W$2:$W$134,"Promoter")</f>
        <v>14</v>
      </c>
      <c r="E11" s="11" t="n">
        <f aca="false">COUNTIFS('Raw Data'!$G$2:$G$134,"*The Week*",'Raw Data'!$W$2:$W$134,"Passive")</f>
        <v>3</v>
      </c>
      <c r="F11" s="11" t="n">
        <f aca="false">COUNTIFS('Raw Data'!$G$2:$G$134,"*The Week*",'Raw Data'!$W$2:$W$134,"Detractor")</f>
        <v>9</v>
      </c>
      <c r="G11" s="12" t="n">
        <f aca="false">(D11-F11)/C11*100</f>
        <v>19.2307692307692</v>
      </c>
      <c r="H11" s="12" t="n">
        <f aca="false">COUNTIFS('Raw Data'!$G$2:$G$134,"*The Week*",'Raw Data'!$M$2:$M$134,"Yes")/C11*100</f>
        <v>26.9230769230769</v>
      </c>
      <c r="I11" s="12" t="n">
        <f aca="false">COUNTIFS('Raw Data'!$G$2:$G$134,"*The Week*",'Raw Data'!$P$2:$P$134,"Yes")/C11*100</f>
        <v>38.4615384615385</v>
      </c>
      <c r="J11" s="12" t="n">
        <f aca="false">COUNTIFS('Raw Data'!$G$2:$G$134,"*The Week*",'Raw Data'!$O$2:$O$134,"Yes")/C11*100</f>
        <v>30.7692307692308</v>
      </c>
    </row>
    <row r="12" customFormat="false" ht="15" hidden="false" customHeight="false" outlineLevel="0" collapsed="false">
      <c r="B12" s="10" t="s">
        <v>81</v>
      </c>
      <c r="C12" s="11" t="n">
        <f aca="false">COUNTIFS('Raw Data'!$G$2:$G$134,"*Forbes India*",'Raw Data'!$B$2:$B$134,"Yes")</f>
        <v>25</v>
      </c>
      <c r="D12" s="11" t="n">
        <f aca="false">COUNTIFS('Raw Data'!$G$2:$G$134,"*Forbes India*",'Raw Data'!$W$2:$W$134,"Promoter")</f>
        <v>9</v>
      </c>
      <c r="E12" s="11" t="n">
        <f aca="false">COUNTIFS('Raw Data'!$G$2:$G$134,"*Forbes India*",'Raw Data'!$W$2:$W$134,"Passive")</f>
        <v>5</v>
      </c>
      <c r="F12" s="11" t="n">
        <f aca="false">COUNTIFS('Raw Data'!$G$2:$G$134,"*Forbes India*",'Raw Data'!$W$2:$W$134,"Detractor")</f>
        <v>11</v>
      </c>
      <c r="G12" s="12" t="n">
        <f aca="false">(D12-F12)/C12*100</f>
        <v>-8</v>
      </c>
      <c r="H12" s="12" t="n">
        <f aca="false">COUNTIFS('Raw Data'!$G$2:$G$134,"*Forbes India*",'Raw Data'!$M$2:$M$134,"Yes")/C12*100</f>
        <v>40</v>
      </c>
      <c r="I12" s="12" t="n">
        <f aca="false">COUNTIFS('Raw Data'!$G$2:$G$134,"*Forbes India*",'Raw Data'!$P$2:$P$134,"Yes")/C12*100</f>
        <v>44</v>
      </c>
      <c r="J12" s="12" t="n">
        <f aca="false">COUNTIFS('Raw Data'!$G$2:$G$134,"*Forbes India*",'Raw Data'!$O$2:$O$134,"Yes")/C12*100</f>
        <v>24</v>
      </c>
    </row>
    <row r="13" customFormat="false" ht="15" hidden="false" customHeight="false" outlineLevel="0" collapsed="false">
      <c r="B13" s="10" t="s">
        <v>229</v>
      </c>
      <c r="C13" s="11" t="n">
        <f aca="false">COUNTIFS('Raw Data'!$G$2:$G$134,"*Frontline*",'Raw Data'!$B$2:$B$134,"Yes")</f>
        <v>13</v>
      </c>
      <c r="D13" s="11" t="n">
        <f aca="false">COUNTIFS('Raw Data'!$G$2:$G$134,"*Frontline*",'Raw Data'!$W$2:$W$134,"Promoter")</f>
        <v>6</v>
      </c>
      <c r="E13" s="11" t="n">
        <f aca="false">COUNTIFS('Raw Data'!$G$2:$G$134,"*Frontline*",'Raw Data'!$W$2:$W$134,"Passive")</f>
        <v>5</v>
      </c>
      <c r="F13" s="11" t="n">
        <f aca="false">COUNTIFS('Raw Data'!$G$2:$G$134,"*Frontline*",'Raw Data'!$W$2:$W$134,"Detractor")</f>
        <v>2</v>
      </c>
      <c r="G13" s="12" t="n">
        <f aca="false">(D13-F13)/C13*100</f>
        <v>30.7692307692308</v>
      </c>
      <c r="H13" s="12" t="n">
        <f aca="false">COUNTIFS('Raw Data'!$G$2:$G$134,"*Frontline*",'Raw Data'!$M$2:$M$134,"Yes")/C13*100</f>
        <v>15.3846153846154</v>
      </c>
      <c r="I13" s="12" t="n">
        <f aca="false">COUNTIFS('Raw Data'!$G$2:$G$134,"*Frontline*",'Raw Data'!$P$2:$P$134,"Yes")/C13*100</f>
        <v>53.8461538461539</v>
      </c>
      <c r="J13" s="12" t="n">
        <f aca="false">COUNTIFS('Raw Data'!$G$2:$G$134,"*Frontline*",'Raw Data'!$O$2:$O$134,"Yes")/C13*100</f>
        <v>15.3846153846154</v>
      </c>
    </row>
  </sheetData>
  <mergeCells count="1">
    <mergeCell ref="B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386</v>
      </c>
    </row>
    <row r="4" customFormat="false" ht="27.75" hidden="false" customHeight="true" outlineLevel="0" collapsed="false">
      <c r="B4" s="6" t="s">
        <v>387</v>
      </c>
      <c r="C4" s="6"/>
      <c r="D4" s="6"/>
      <c r="E4" s="6"/>
      <c r="F4" s="6"/>
      <c r="G4" s="6"/>
      <c r="H4" s="6"/>
      <c r="I4" s="6"/>
    </row>
    <row r="7" customFormat="false" ht="15" hidden="false" customHeight="false" outlineLevel="0" collapsed="false">
      <c r="B7" s="5" t="s">
        <v>388</v>
      </c>
      <c r="C7" s="5" t="s">
        <v>389</v>
      </c>
      <c r="D7" s="5" t="s">
        <v>390</v>
      </c>
    </row>
    <row r="8" customFormat="false" ht="15" hidden="false" customHeight="false" outlineLevel="0" collapsed="false">
      <c r="B8" s="11" t="s">
        <v>67</v>
      </c>
      <c r="C8" s="11" t="n">
        <f aca="false">COUNTIFS('Raw Data'!$H$2:$H$134,B8,'Raw Data'!$B$2:$B$134,"Yes")</f>
        <v>30</v>
      </c>
      <c r="D8" s="13" t="n">
        <f aca="false">C8/COUNTIF('Raw Data'!$B$2:$B$134,"Yes")</f>
        <v>0.24390243902439</v>
      </c>
    </row>
    <row r="9" customFormat="false" ht="15" hidden="false" customHeight="false" outlineLevel="0" collapsed="false">
      <c r="B9" s="11" t="s">
        <v>82</v>
      </c>
      <c r="C9" s="11" t="n">
        <f aca="false">COUNTIFS('Raw Data'!$H$2:$H$134,B9,'Raw Data'!$B$2:$B$134,"Yes")</f>
        <v>29</v>
      </c>
      <c r="D9" s="13" t="n">
        <f aca="false">C9/COUNTIF('Raw Data'!$B$2:$B$134,"Yes")</f>
        <v>0.235772357723577</v>
      </c>
    </row>
    <row r="10" customFormat="false" ht="15" hidden="false" customHeight="false" outlineLevel="0" collapsed="false">
      <c r="B10" s="11" t="s">
        <v>94</v>
      </c>
      <c r="C10" s="11" t="n">
        <f aca="false">COUNTIFS('Raw Data'!$H$2:$H$134,B10,'Raw Data'!$B$2:$B$134,"Yes")</f>
        <v>23</v>
      </c>
      <c r="D10" s="13" t="n">
        <f aca="false">C10/COUNTIF('Raw Data'!$B$2:$B$134,"Yes")</f>
        <v>0.186991869918699</v>
      </c>
    </row>
    <row r="11" customFormat="false" ht="15" hidden="false" customHeight="false" outlineLevel="0" collapsed="false">
      <c r="B11" s="11" t="s">
        <v>138</v>
      </c>
      <c r="C11" s="11" t="n">
        <f aca="false">COUNTIFS('Raw Data'!$H$2:$H$134,B11,'Raw Data'!$B$2:$B$134,"Yes")</f>
        <v>17</v>
      </c>
      <c r="D11" s="13" t="n">
        <f aca="false">C11/COUNTIF('Raw Data'!$B$2:$B$134,"Yes")</f>
        <v>0.138211382113821</v>
      </c>
    </row>
    <row r="12" customFormat="false" ht="15" hidden="false" customHeight="false" outlineLevel="0" collapsed="false">
      <c r="B12" s="11" t="s">
        <v>50</v>
      </c>
      <c r="C12" s="11" t="n">
        <f aca="false">COUNTIFS('Raw Data'!$H$2:$H$134,B12,'Raw Data'!$B$2:$B$134,"Yes")</f>
        <v>14</v>
      </c>
      <c r="D12" s="13" t="n">
        <f aca="false">C12/COUNTIF('Raw Data'!$B$2:$B$134,"Yes")</f>
        <v>0.113821138211382</v>
      </c>
    </row>
    <row r="13" customFormat="false" ht="15" hidden="false" customHeight="false" outlineLevel="0" collapsed="false">
      <c r="B13" s="11" t="s">
        <v>129</v>
      </c>
      <c r="C13" s="11" t="n">
        <f aca="false">COUNTIFS('Raw Data'!$H$2:$H$134,B13,'Raw Data'!$B$2:$B$134,"Yes")</f>
        <v>9</v>
      </c>
      <c r="D13" s="13" t="n">
        <f aca="false">C13/COUNTIF('Raw Data'!$B$2:$B$134,"Yes")</f>
        <v>0.0731707317073171</v>
      </c>
    </row>
    <row r="14" customFormat="false" ht="15" hidden="false" customHeight="false" outlineLevel="0" collapsed="false">
      <c r="B14" s="11" t="s">
        <v>102</v>
      </c>
      <c r="C14" s="11" t="n">
        <f aca="false">COUNTIFS('Raw Data'!$H$2:$H$134,B14,'Raw Data'!$B$2:$B$134,"Yes")</f>
        <v>1</v>
      </c>
      <c r="D14" s="13" t="n">
        <f aca="false">C14/COUNTIF('Raw Data'!$B$2:$B$134,"Yes")</f>
        <v>0.00813008130081301</v>
      </c>
    </row>
    <row r="17" customFormat="false" ht="15" hidden="false" customHeight="false" outlineLevel="0" collapsed="false">
      <c r="B17" s="9" t="s">
        <v>28</v>
      </c>
    </row>
    <row r="18" customFormat="false" ht="15" hidden="false" customHeight="false" outlineLevel="0" collapsed="false">
      <c r="B18" s="5" t="s">
        <v>388</v>
      </c>
      <c r="C18" s="5" t="s">
        <v>389</v>
      </c>
      <c r="D18" s="5" t="s">
        <v>390</v>
      </c>
    </row>
    <row r="19" customFormat="false" ht="15" hidden="false" customHeight="false" outlineLevel="0" collapsed="false">
      <c r="B19" s="11" t="s">
        <v>51</v>
      </c>
      <c r="C19" s="11" t="n">
        <f aca="false">COUNTIFS('Raw Data'!$I$2:$I$134,B19,'Raw Data'!$B$2:$B$134,"Yes")</f>
        <v>52</v>
      </c>
      <c r="D19" s="13" t="n">
        <f aca="false">C19/COUNTIF('Raw Data'!$B$2:$B$134,"Yes")</f>
        <v>0.422764227642276</v>
      </c>
    </row>
    <row r="20" customFormat="false" ht="15" hidden="false" customHeight="false" outlineLevel="0" collapsed="false">
      <c r="B20" s="11" t="s">
        <v>83</v>
      </c>
      <c r="C20" s="11" t="n">
        <f aca="false">COUNTIFS('Raw Data'!$I$2:$I$134,B20,'Raw Data'!$B$2:$B$134,"Yes")</f>
        <v>21</v>
      </c>
      <c r="D20" s="13" t="n">
        <f aca="false">C20/COUNTIF('Raw Data'!$B$2:$B$134,"Yes")</f>
        <v>0.170731707317073</v>
      </c>
    </row>
    <row r="21" customFormat="false" ht="15" hidden="false" customHeight="false" outlineLevel="0" collapsed="false">
      <c r="B21" s="11" t="s">
        <v>95</v>
      </c>
      <c r="C21" s="11" t="n">
        <f aca="false">COUNTIFS('Raw Data'!$I$2:$I$134,B21,'Raw Data'!$B$2:$B$134,"Yes")</f>
        <v>15</v>
      </c>
      <c r="D21" s="13" t="n">
        <f aca="false">C21/COUNTIF('Raw Data'!$B$2:$B$134,"Yes")</f>
        <v>0.121951219512195</v>
      </c>
    </row>
    <row r="22" customFormat="false" ht="15" hidden="false" customHeight="false" outlineLevel="0" collapsed="false">
      <c r="B22" s="11" t="s">
        <v>144</v>
      </c>
      <c r="C22" s="11" t="n">
        <f aca="false">COUNTIFS('Raw Data'!$I$2:$I$134,B22,'Raw Data'!$B$2:$B$134,"Yes")</f>
        <v>15</v>
      </c>
      <c r="D22" s="13" t="n">
        <f aca="false">C22/COUNTIF('Raw Data'!$B$2:$B$134,"Yes")</f>
        <v>0.121951219512195</v>
      </c>
    </row>
    <row r="23" customFormat="false" ht="15" hidden="false" customHeight="false" outlineLevel="0" collapsed="false">
      <c r="B23" s="11" t="s">
        <v>123</v>
      </c>
      <c r="C23" s="11" t="n">
        <f aca="false">COUNTIFS('Raw Data'!$I$2:$I$134,B23,'Raw Data'!$B$2:$B$134,"Yes")</f>
        <v>11</v>
      </c>
      <c r="D23" s="13" t="n">
        <f aca="false">C23/COUNTIF('Raw Data'!$B$2:$B$134,"Yes")</f>
        <v>0.0894308943089431</v>
      </c>
    </row>
    <row r="24" customFormat="false" ht="15" hidden="false" customHeight="false" outlineLevel="0" collapsed="false">
      <c r="B24" s="11" t="s">
        <v>102</v>
      </c>
      <c r="C24" s="11" t="n">
        <f aca="false">COUNTIFS('Raw Data'!$I$2:$I$134,B24,'Raw Data'!$B$2:$B$134,"Yes")</f>
        <v>9</v>
      </c>
      <c r="D24" s="13" t="n">
        <f aca="false">C24/COUNTIF('Raw Data'!$B$2:$B$134,"Yes")</f>
        <v>0.0731707317073171</v>
      </c>
    </row>
    <row r="27" customFormat="false" ht="15" hidden="false" customHeight="false" outlineLevel="0" collapsed="false">
      <c r="B27" s="9" t="s">
        <v>391</v>
      </c>
    </row>
    <row r="28" customFormat="false" ht="15" hidden="false" customHeight="false" outlineLevel="0" collapsed="false">
      <c r="B28" s="5" t="s">
        <v>392</v>
      </c>
      <c r="C28" s="5" t="s">
        <v>393</v>
      </c>
      <c r="D28" s="5" t="s">
        <v>382</v>
      </c>
    </row>
    <row r="29" customFormat="false" ht="15" hidden="false" customHeight="false" outlineLevel="0" collapsed="false">
      <c r="B29" s="11" t="s">
        <v>67</v>
      </c>
      <c r="C29" s="11" t="n">
        <f aca="false">COUNTIFS('Raw Data'!$H$2:$H$134,B29,'Raw Data'!$B$2:$B$134,"Yes")</f>
        <v>30</v>
      </c>
      <c r="D29" s="12" t="n">
        <f aca="false">(COUNTIFS('Raw Data'!$H$2:$H$134,B29,'Raw Data'!$W$2:$W$134,"Promoter")-COUNTIFS('Raw Data'!$H$2:$H$134,B29,'Raw Data'!$W$2:$W$134,"Detractor"))/C29*100</f>
        <v>-36.6666666666667</v>
      </c>
    </row>
    <row r="30" customFormat="false" ht="15" hidden="false" customHeight="false" outlineLevel="0" collapsed="false">
      <c r="B30" s="11" t="s">
        <v>82</v>
      </c>
      <c r="C30" s="11" t="n">
        <f aca="false">COUNTIFS('Raw Data'!$H$2:$H$134,B30,'Raw Data'!$B$2:$B$134,"Yes")</f>
        <v>29</v>
      </c>
      <c r="D30" s="12" t="n">
        <f aca="false">(COUNTIFS('Raw Data'!$H$2:$H$134,B30,'Raw Data'!$W$2:$W$134,"Promoter")-COUNTIFS('Raw Data'!$H$2:$H$134,B30,'Raw Data'!$W$2:$W$134,"Detractor"))/C30*100</f>
        <v>17.2413793103448</v>
      </c>
    </row>
    <row r="31" customFormat="false" ht="15" hidden="false" customHeight="false" outlineLevel="0" collapsed="false">
      <c r="B31" s="11" t="s">
        <v>94</v>
      </c>
      <c r="C31" s="11" t="n">
        <f aca="false">COUNTIFS('Raw Data'!$H$2:$H$134,B31,'Raw Data'!$B$2:$B$134,"Yes")</f>
        <v>23</v>
      </c>
      <c r="D31" s="12" t="n">
        <f aca="false">(COUNTIFS('Raw Data'!$H$2:$H$134,B31,'Raw Data'!$W$2:$W$134,"Promoter")-COUNTIFS('Raw Data'!$H$2:$H$134,B31,'Raw Data'!$W$2:$W$134,"Detractor"))/C31*100</f>
        <v>39.1304347826087</v>
      </c>
    </row>
    <row r="32" customFormat="false" ht="15" hidden="false" customHeight="false" outlineLevel="0" collapsed="false">
      <c r="B32" s="11" t="s">
        <v>138</v>
      </c>
      <c r="C32" s="11" t="n">
        <f aca="false">COUNTIFS('Raw Data'!$H$2:$H$134,B32,'Raw Data'!$B$2:$B$134,"Yes")</f>
        <v>17</v>
      </c>
      <c r="D32" s="12" t="n">
        <f aca="false">(COUNTIFS('Raw Data'!$H$2:$H$134,B32,'Raw Data'!$W$2:$W$134,"Promoter")-COUNTIFS('Raw Data'!$H$2:$H$134,B32,'Raw Data'!$W$2:$W$134,"Detractor"))/C32*100</f>
        <v>41.1764705882353</v>
      </c>
    </row>
    <row r="33" customFormat="false" ht="15" hidden="false" customHeight="false" outlineLevel="0" collapsed="false">
      <c r="B33" s="11" t="s">
        <v>50</v>
      </c>
      <c r="C33" s="11" t="n">
        <f aca="false">COUNTIFS('Raw Data'!$H$2:$H$134,B33,'Raw Data'!$B$2:$B$134,"Yes")</f>
        <v>14</v>
      </c>
      <c r="D33" s="12" t="n">
        <f aca="false">(COUNTIFS('Raw Data'!$H$2:$H$134,B33,'Raw Data'!$W$2:$W$134,"Promoter")-COUNTIFS('Raw Data'!$H$2:$H$134,B33,'Raw Data'!$W$2:$W$134,"Detractor"))/C33*100</f>
        <v>35.7142857142857</v>
      </c>
    </row>
    <row r="34" customFormat="false" ht="15" hidden="false" customHeight="false" outlineLevel="0" collapsed="false">
      <c r="B34" s="11" t="s">
        <v>129</v>
      </c>
      <c r="C34" s="11" t="n">
        <f aca="false">COUNTIFS('Raw Data'!$H$2:$H$134,B34,'Raw Data'!$B$2:$B$134,"Yes")</f>
        <v>9</v>
      </c>
      <c r="D34" s="12" t="n">
        <f aca="false">(COUNTIFS('Raw Data'!$H$2:$H$134,B34,'Raw Data'!$W$2:$W$134,"Promoter")-COUNTIFS('Raw Data'!$H$2:$H$134,B34,'Raw Data'!$W$2:$W$134,"Detractor"))/C34*100</f>
        <v>-11.1111111111111</v>
      </c>
    </row>
    <row r="35" customFormat="false" ht="15" hidden="false" customHeight="false" outlineLevel="0" collapsed="false">
      <c r="B35" s="11" t="s">
        <v>102</v>
      </c>
      <c r="C35" s="11" t="n">
        <f aca="false">COUNTIFS('Raw Data'!$H$2:$H$134,B35,'Raw Data'!$B$2:$B$134,"Yes")</f>
        <v>1</v>
      </c>
      <c r="D35" s="12" t="n">
        <f aca="false">(COUNTIFS('Raw Data'!$H$2:$H$134,B35,'Raw Data'!$W$2:$W$134,"Promoter")-COUNTIFS('Raw Data'!$H$2:$H$134,B35,'Raw Data'!$W$2:$W$134,"Detractor"))/C35*100</f>
        <v>0</v>
      </c>
    </row>
  </sheetData>
  <mergeCells count="1">
    <mergeCell ref="B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394</v>
      </c>
    </row>
    <row r="4" customFormat="false" ht="15" hidden="false" customHeight="false" outlineLevel="0" collapsed="false">
      <c r="B4" s="9" t="s">
        <v>395</v>
      </c>
    </row>
    <row r="5" customFormat="false" ht="15" hidden="false" customHeight="false" outlineLevel="0" collapsed="false">
      <c r="B5" s="5" t="s">
        <v>388</v>
      </c>
      <c r="C5" s="5" t="s">
        <v>389</v>
      </c>
      <c r="D5" s="5" t="s">
        <v>390</v>
      </c>
    </row>
    <row r="6" customFormat="false" ht="15" hidden="false" customHeight="false" outlineLevel="0" collapsed="false">
      <c r="B6" s="11" t="s">
        <v>114</v>
      </c>
      <c r="C6" s="11" t="n">
        <f aca="false">COUNTIFS('Raw Data'!$J$2:$J$134,B6,'Raw Data'!$B$2:$B$134,"Yes")</f>
        <v>19</v>
      </c>
      <c r="D6" s="13" t="n">
        <f aca="false">C6/COUNTIF('Raw Data'!$B$2:$B$134,"Yes")</f>
        <v>0.154471544715447</v>
      </c>
    </row>
    <row r="7" customFormat="false" ht="15" hidden="false" customHeight="false" outlineLevel="0" collapsed="false">
      <c r="B7" s="11" t="s">
        <v>52</v>
      </c>
      <c r="C7" s="11" t="n">
        <f aca="false">COUNTIFS('Raw Data'!$J$2:$J$134,B7,'Raw Data'!$B$2:$B$134,"Yes")</f>
        <v>32</v>
      </c>
      <c r="D7" s="13" t="n">
        <f aca="false">C7/COUNTIF('Raw Data'!$B$2:$B$134,"Yes")</f>
        <v>0.260162601626016</v>
      </c>
    </row>
    <row r="8" customFormat="false" ht="15" hidden="false" customHeight="false" outlineLevel="0" collapsed="false">
      <c r="B8" s="11" t="s">
        <v>68</v>
      </c>
      <c r="C8" s="11" t="n">
        <f aca="false">COUNTIFS('Raw Data'!$J$2:$J$134,B8,'Raw Data'!$B$2:$B$134,"Yes")</f>
        <v>32</v>
      </c>
      <c r="D8" s="13" t="n">
        <f aca="false">C8/COUNTIF('Raw Data'!$B$2:$B$134,"Yes")</f>
        <v>0.260162601626016</v>
      </c>
    </row>
    <row r="9" customFormat="false" ht="15" hidden="false" customHeight="false" outlineLevel="0" collapsed="false">
      <c r="B9" s="11" t="s">
        <v>167</v>
      </c>
      <c r="C9" s="11" t="n">
        <f aca="false">COUNTIFS('Raw Data'!$J$2:$J$134,B9,'Raw Data'!$B$2:$B$134,"Yes")</f>
        <v>14</v>
      </c>
      <c r="D9" s="13" t="n">
        <f aca="false">C9/COUNTIF('Raw Data'!$B$2:$B$134,"Yes")</f>
        <v>0.113821138211382</v>
      </c>
    </row>
    <row r="10" customFormat="false" ht="15" hidden="false" customHeight="false" outlineLevel="0" collapsed="false">
      <c r="B10" s="11" t="s">
        <v>96</v>
      </c>
      <c r="C10" s="11" t="n">
        <f aca="false">COUNTIFS('Raw Data'!$J$2:$J$134,B10,'Raw Data'!$B$2:$B$134,"Yes")</f>
        <v>26</v>
      </c>
      <c r="D10" s="13" t="n">
        <f aca="false">C10/COUNTIF('Raw Data'!$B$2:$B$134,"Yes")</f>
        <v>0.211382113821138</v>
      </c>
    </row>
    <row r="13" customFormat="false" ht="15" hidden="false" customHeight="false" outlineLevel="0" collapsed="false">
      <c r="B13" s="9" t="s">
        <v>396</v>
      </c>
    </row>
    <row r="14" customFormat="false" ht="15" hidden="false" customHeight="false" outlineLevel="0" collapsed="false">
      <c r="B14" s="5" t="s">
        <v>388</v>
      </c>
      <c r="C14" s="5" t="s">
        <v>389</v>
      </c>
      <c r="D14" s="5" t="s">
        <v>390</v>
      </c>
    </row>
    <row r="15" customFormat="false" ht="15" hidden="false" customHeight="false" outlineLevel="0" collapsed="false">
      <c r="B15" s="11" t="s">
        <v>53</v>
      </c>
      <c r="C15" s="11" t="n">
        <f aca="false">COUNTIFS('Raw Data'!$K$2:$K$134,B15,'Raw Data'!$B$2:$B$134,"Yes")</f>
        <v>52</v>
      </c>
      <c r="D15" s="13" t="n">
        <f aca="false">C15/COUNTIF('Raw Data'!$B$2:$B$134,"Yes")</f>
        <v>0.422764227642276</v>
      </c>
    </row>
    <row r="16" customFormat="false" ht="15" hidden="false" customHeight="false" outlineLevel="0" collapsed="false">
      <c r="B16" s="11" t="s">
        <v>84</v>
      </c>
      <c r="C16" s="11" t="n">
        <f aca="false">COUNTIFS('Raw Data'!$K$2:$K$134,B16,'Raw Data'!$B$2:$B$134,"Yes")</f>
        <v>50</v>
      </c>
      <c r="D16" s="13" t="n">
        <f aca="false">C16/COUNTIF('Raw Data'!$B$2:$B$134,"Yes")</f>
        <v>0.40650406504065</v>
      </c>
    </row>
    <row r="17" customFormat="false" ht="15" hidden="false" customHeight="false" outlineLevel="0" collapsed="false">
      <c r="B17" s="11" t="s">
        <v>69</v>
      </c>
      <c r="C17" s="11" t="n">
        <f aca="false">COUNTIFS('Raw Data'!$K$2:$K$134,B17,'Raw Data'!$B$2:$B$134,"Yes")</f>
        <v>21</v>
      </c>
      <c r="D17" s="13" t="n">
        <f aca="false">C17/COUNTIF('Raw Data'!$B$2:$B$134,"Yes")</f>
        <v>0.170731707317073</v>
      </c>
    </row>
    <row r="20" customFormat="false" ht="15" hidden="false" customHeight="false" outlineLevel="0" collapsed="false">
      <c r="B20" s="9" t="s">
        <v>397</v>
      </c>
    </row>
    <row r="21" customFormat="false" ht="15" hidden="false" customHeight="false" outlineLevel="0" collapsed="false">
      <c r="B21" s="5" t="s">
        <v>388</v>
      </c>
      <c r="C21" s="5" t="s">
        <v>389</v>
      </c>
      <c r="D21" s="5" t="s">
        <v>390</v>
      </c>
    </row>
    <row r="22" customFormat="false" ht="15" hidden="false" customHeight="false" outlineLevel="0" collapsed="false">
      <c r="B22" s="11" t="s">
        <v>44</v>
      </c>
      <c r="C22" s="11" t="n">
        <f aca="false">COUNTIFS('Raw Data'!$M$2:$M$134,B22,'Raw Data'!$B$2:$B$134,"Yes")</f>
        <v>46</v>
      </c>
      <c r="D22" s="13" t="n">
        <f aca="false">C22/COUNTIF('Raw Data'!$B$2:$B$134,"Yes")</f>
        <v>0.373983739837398</v>
      </c>
    </row>
    <row r="23" customFormat="false" ht="15" hidden="false" customHeight="false" outlineLevel="0" collapsed="false">
      <c r="B23" s="11" t="s">
        <v>55</v>
      </c>
      <c r="C23" s="11" t="n">
        <f aca="false">COUNTIFS('Raw Data'!$M$2:$M$134,B23,'Raw Data'!$B$2:$B$134,"Yes")</f>
        <v>77</v>
      </c>
      <c r="D23" s="13" t="n">
        <f aca="false">C23/COUNTIF('Raw Data'!$B$2:$B$134,"Yes")</f>
        <v>0.626016260162602</v>
      </c>
    </row>
    <row r="26" customFormat="false" ht="15" hidden="false" customHeight="false" outlineLevel="0" collapsed="false">
      <c r="B26" s="9" t="s">
        <v>398</v>
      </c>
    </row>
    <row r="27" customFormat="false" ht="15" hidden="false" customHeight="false" outlineLevel="0" collapsed="false">
      <c r="B27" s="5" t="s">
        <v>399</v>
      </c>
      <c r="C27" s="5" t="s">
        <v>389</v>
      </c>
      <c r="D27" s="5" t="s">
        <v>400</v>
      </c>
    </row>
    <row r="28" customFormat="false" ht="15" hidden="false" customHeight="false" outlineLevel="0" collapsed="false">
      <c r="B28" s="11" t="s">
        <v>134</v>
      </c>
      <c r="C28" s="11" t="n">
        <f aca="false">COUNTIFS('Raw Data'!$N$2:$N$134,B28,'Raw Data'!$M$2:$M$134,"Yes")</f>
        <v>16</v>
      </c>
      <c r="D28" s="13" t="n">
        <f aca="false">C28/COUNTIF('Raw Data'!$M$2:$M$134,"Yes")</f>
        <v>0.347826086956522</v>
      </c>
    </row>
    <row r="29" customFormat="false" ht="15" hidden="false" customHeight="false" outlineLevel="0" collapsed="false">
      <c r="B29" s="11" t="s">
        <v>71</v>
      </c>
      <c r="C29" s="11" t="n">
        <f aca="false">COUNTIFS('Raw Data'!$N$2:$N$134,B29,'Raw Data'!$M$2:$M$134,"Yes")</f>
        <v>14</v>
      </c>
      <c r="D29" s="13" t="n">
        <f aca="false">C29/COUNTIF('Raw Data'!$M$2:$M$134,"Yes")</f>
        <v>0.304347826086957</v>
      </c>
    </row>
    <row r="30" customFormat="false" ht="15" hidden="false" customHeight="false" outlineLevel="0" collapsed="false">
      <c r="B30" s="11" t="s">
        <v>119</v>
      </c>
      <c r="C30" s="11" t="n">
        <f aca="false">COUNTIFS('Raw Data'!$N$2:$N$134,B30,'Raw Data'!$M$2:$M$134,"Yes")</f>
        <v>11</v>
      </c>
      <c r="D30" s="13" t="n">
        <f aca="false">C30/COUNTIF('Raw Data'!$M$2:$M$134,"Yes")</f>
        <v>0.239130434782609</v>
      </c>
    </row>
    <row r="31" customFormat="false" ht="15" hidden="false" customHeight="false" outlineLevel="0" collapsed="false">
      <c r="B31" s="11" t="s">
        <v>175</v>
      </c>
      <c r="C31" s="11" t="n">
        <f aca="false">COUNTIFS('Raw Data'!$N$2:$N$134,B31,'Raw Data'!$M$2:$M$134,"Yes")</f>
        <v>5</v>
      </c>
      <c r="D31" s="13" t="n">
        <f aca="false">C31/COUNTIF('Raw Data'!$M$2:$M$134,"Yes")</f>
        <v>0.108695652173913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401</v>
      </c>
    </row>
    <row r="4" customFormat="false" ht="15" hidden="false" customHeight="false" outlineLevel="0" collapsed="false">
      <c r="B4" s="9" t="s">
        <v>402</v>
      </c>
    </row>
    <row r="5" customFormat="false" ht="15" hidden="false" customHeight="false" outlineLevel="0" collapsed="false">
      <c r="B5" s="5" t="s">
        <v>388</v>
      </c>
      <c r="C5" s="5" t="s">
        <v>389</v>
      </c>
      <c r="D5" s="5" t="s">
        <v>390</v>
      </c>
    </row>
    <row r="6" customFormat="false" ht="15" hidden="false" customHeight="false" outlineLevel="0" collapsed="false">
      <c r="B6" s="11" t="s">
        <v>44</v>
      </c>
      <c r="C6" s="11" t="n">
        <f aca="false">COUNTIFS('Raw Data'!$O$2:$O$134,B6,'Raw Data'!$B$2:$B$134,"Yes")</f>
        <v>27</v>
      </c>
      <c r="D6" s="13" t="n">
        <f aca="false">C6/COUNTIF('Raw Data'!$B$2:$B$134,"Yes")</f>
        <v>0.219512195121951</v>
      </c>
    </row>
    <row r="7" customFormat="false" ht="15" hidden="false" customHeight="false" outlineLevel="0" collapsed="false">
      <c r="B7" s="11" t="s">
        <v>55</v>
      </c>
      <c r="C7" s="11" t="n">
        <f aca="false">COUNTIFS('Raw Data'!$O$2:$O$134,B7,'Raw Data'!$B$2:$B$134,"Yes")</f>
        <v>96</v>
      </c>
      <c r="D7" s="13" t="n">
        <f aca="false">C7/COUNTIF('Raw Data'!$B$2:$B$134,"Yes")</f>
        <v>0.780487804878049</v>
      </c>
    </row>
    <row r="10" customFormat="false" ht="15" hidden="false" customHeight="false" outlineLevel="0" collapsed="false">
      <c r="B10" s="9" t="s">
        <v>403</v>
      </c>
    </row>
    <row r="11" customFormat="false" ht="15" hidden="false" customHeight="false" outlineLevel="0" collapsed="false">
      <c r="B11" s="5" t="s">
        <v>388</v>
      </c>
      <c r="C11" s="5" t="s">
        <v>389</v>
      </c>
      <c r="D11" s="5" t="s">
        <v>390</v>
      </c>
    </row>
    <row r="12" customFormat="false" ht="15" hidden="false" customHeight="false" outlineLevel="0" collapsed="false">
      <c r="B12" s="11" t="s">
        <v>44</v>
      </c>
      <c r="C12" s="11" t="n">
        <f aca="false">COUNTIFS('Raw Data'!$P$2:$P$134,B12,'Raw Data'!$B$2:$B$134,"Yes")</f>
        <v>57</v>
      </c>
      <c r="D12" s="13" t="n">
        <f aca="false">C12/COUNTIF('Raw Data'!$B$2:$B$134,"Yes")</f>
        <v>0.463414634146342</v>
      </c>
    </row>
    <row r="13" customFormat="false" ht="15" hidden="false" customHeight="false" outlineLevel="0" collapsed="false">
      <c r="B13" s="11" t="s">
        <v>72</v>
      </c>
      <c r="C13" s="11" t="n">
        <f aca="false">COUNTIFS('Raw Data'!$P$2:$P$134,B13,'Raw Data'!$B$2:$B$134,"Yes")</f>
        <v>45</v>
      </c>
      <c r="D13" s="13" t="n">
        <f aca="false">C13/COUNTIF('Raw Data'!$B$2:$B$134,"Yes")</f>
        <v>0.365853658536585</v>
      </c>
    </row>
    <row r="14" customFormat="false" ht="15" hidden="false" customHeight="false" outlineLevel="0" collapsed="false">
      <c r="B14" s="11" t="s">
        <v>55</v>
      </c>
      <c r="C14" s="11" t="n">
        <f aca="false">COUNTIFS('Raw Data'!$P$2:$P$134,B14,'Raw Data'!$B$2:$B$134,"Yes")</f>
        <v>21</v>
      </c>
      <c r="D14" s="13" t="n">
        <f aca="false">C14/COUNTIF('Raw Data'!$B$2:$B$134,"Yes")</f>
        <v>0.170731707317073</v>
      </c>
    </row>
    <row r="17" customFormat="false" ht="15" hidden="false" customHeight="false" outlineLevel="0" collapsed="false">
      <c r="B17" s="9" t="s">
        <v>404</v>
      </c>
    </row>
    <row r="18" customFormat="false" ht="15" hidden="false" customHeight="false" outlineLevel="0" collapsed="false">
      <c r="B18" s="5" t="s">
        <v>405</v>
      </c>
      <c r="C18" s="5" t="s">
        <v>406</v>
      </c>
      <c r="D18" s="5" t="s">
        <v>407</v>
      </c>
    </row>
    <row r="19" customFormat="false" ht="15" hidden="false" customHeight="false" outlineLevel="0" collapsed="false">
      <c r="B19" s="11" t="s">
        <v>109</v>
      </c>
      <c r="C19" s="11" t="n">
        <f aca="false">SUMPRODUCT(ISNUMBER(SEARCH(B19,'Raw Data'!$Q$2:$Q$134))*('Raw Data'!$B$2:$B$134="Yes"))</f>
        <v>42</v>
      </c>
      <c r="D19" s="13" t="n">
        <f aca="false">C19/COUNTIF('Raw Data'!$B$2:$B$134,"Yes")</f>
        <v>0.341463414634146</v>
      </c>
    </row>
    <row r="20" customFormat="false" ht="15" hidden="false" customHeight="false" outlineLevel="0" collapsed="false">
      <c r="B20" s="11" t="s">
        <v>148</v>
      </c>
      <c r="C20" s="11" t="n">
        <f aca="false">SUMPRODUCT(ISNUMBER(SEARCH(B20,'Raw Data'!$Q$2:$Q$134))*('Raw Data'!$B$2:$B$134="Yes"))</f>
        <v>39</v>
      </c>
      <c r="D20" s="13" t="n">
        <f aca="false">C20/COUNTIF('Raw Data'!$B$2:$B$134,"Yes")</f>
        <v>0.317073170731707</v>
      </c>
    </row>
    <row r="21" customFormat="false" ht="15" hidden="false" customHeight="false" outlineLevel="0" collapsed="false">
      <c r="B21" s="11" t="s">
        <v>73</v>
      </c>
      <c r="C21" s="11" t="n">
        <f aca="false">SUMPRODUCT(ISNUMBER(SEARCH(B21,'Raw Data'!$Q$2:$Q$134))*('Raw Data'!$B$2:$B$134="Yes"))</f>
        <v>37</v>
      </c>
      <c r="D21" s="13" t="n">
        <f aca="false">C21/COUNTIF('Raw Data'!$B$2:$B$134,"Yes")</f>
        <v>0.300813008130081</v>
      </c>
    </row>
    <row r="22" customFormat="false" ht="15" hidden="false" customHeight="false" outlineLevel="0" collapsed="false">
      <c r="B22" s="11" t="s">
        <v>85</v>
      </c>
      <c r="C22" s="11" t="n">
        <f aca="false">SUMPRODUCT(ISNUMBER(SEARCH(B22,'Raw Data'!$Q$2:$Q$134))*('Raw Data'!$B$2:$B$134="Yes"))</f>
        <v>30</v>
      </c>
      <c r="D22" s="13" t="n">
        <f aca="false">C22/COUNTIF('Raw Data'!$B$2:$B$134,"Yes")</f>
        <v>0.24390243902439</v>
      </c>
    </row>
    <row r="23" customFormat="false" ht="15" hidden="false" customHeight="false" outlineLevel="0" collapsed="false">
      <c r="B23" s="11" t="s">
        <v>130</v>
      </c>
      <c r="C23" s="11" t="n">
        <f aca="false">SUMPRODUCT(ISNUMBER(SEARCH(B23,'Raw Data'!$Q$2:$Q$134))*('Raw Data'!$B$2:$B$134="Yes"))</f>
        <v>24</v>
      </c>
      <c r="D23" s="13" t="n">
        <f aca="false">C23/COUNTIF('Raw Data'!$B$2:$B$134,"Yes")</f>
        <v>0.195121951219512</v>
      </c>
    </row>
    <row r="24" customFormat="false" ht="15" hidden="false" customHeight="false" outlineLevel="0" collapsed="false">
      <c r="B24" s="11" t="s">
        <v>145</v>
      </c>
      <c r="C24" s="11" t="n">
        <f aca="false">SUMPRODUCT(ISNUMBER(SEARCH(B24,'Raw Data'!$Q$2:$Q$134))*('Raw Data'!$B$2:$B$134="Yes"))</f>
        <v>19</v>
      </c>
      <c r="D24" s="13" t="n">
        <f aca="false">C24/COUNTIF('Raw Data'!$B$2:$B$134,"Yes")</f>
        <v>0.154471544715447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408</v>
      </c>
    </row>
    <row r="4" customFormat="false" ht="33.75" hidden="false" customHeight="true" outlineLevel="0" collapsed="false">
      <c r="B4" s="6" t="s">
        <v>409</v>
      </c>
      <c r="C4" s="6"/>
      <c r="D4" s="6"/>
      <c r="E4" s="6"/>
      <c r="F4" s="6"/>
      <c r="G4" s="6"/>
      <c r="H4" s="6"/>
      <c r="I4" s="6"/>
    </row>
    <row r="7" customFormat="false" ht="15" hidden="false" customHeight="false" outlineLevel="0" collapsed="false">
      <c r="B7" s="5" t="s">
        <v>388</v>
      </c>
      <c r="C7" s="5" t="s">
        <v>389</v>
      </c>
      <c r="D7" s="5" t="s">
        <v>390</v>
      </c>
    </row>
    <row r="8" customFormat="false" ht="15" hidden="false" customHeight="false" outlineLevel="0" collapsed="false">
      <c r="B8" s="11" t="s">
        <v>60</v>
      </c>
      <c r="C8" s="11" t="n">
        <f aca="false">COUNTIFS('Raw Data'!$U$2:$U$134,B8,'Raw Data'!$B$2:$B$134,"Yes")</f>
        <v>23</v>
      </c>
      <c r="D8" s="13" t="n">
        <f aca="false">C8/COUNTIF('Raw Data'!$B$2:$B$134,"Yes")</f>
        <v>0.186991869918699</v>
      </c>
    </row>
    <row r="9" customFormat="false" ht="15" hidden="false" customHeight="false" outlineLevel="0" collapsed="false">
      <c r="B9" s="11" t="s">
        <v>76</v>
      </c>
      <c r="C9" s="11" t="n">
        <f aca="false">COUNTIFS('Raw Data'!$U$2:$U$134,B9,'Raw Data'!$B$2:$B$134,"Yes")</f>
        <v>22</v>
      </c>
      <c r="D9" s="13" t="n">
        <f aca="false">C9/COUNTIF('Raw Data'!$B$2:$B$134,"Yes")</f>
        <v>0.178861788617886</v>
      </c>
    </row>
    <row r="10" customFormat="false" ht="15" hidden="false" customHeight="false" outlineLevel="0" collapsed="false">
      <c r="B10" s="11" t="s">
        <v>55</v>
      </c>
      <c r="C10" s="11" t="n">
        <f aca="false">COUNTIFS('Raw Data'!$U$2:$U$134,B10,'Raw Data'!$B$2:$B$134,"Yes")</f>
        <v>78</v>
      </c>
      <c r="D10" s="13" t="n">
        <f aca="false">C10/COUNTIF('Raw Data'!$B$2:$B$134,"Yes")</f>
        <v>0.634146341463415</v>
      </c>
    </row>
    <row r="13" customFormat="false" ht="15" hidden="false" customHeight="false" outlineLevel="0" collapsed="false">
      <c r="B13" s="9" t="s">
        <v>410</v>
      </c>
    </row>
    <row r="14" customFormat="false" ht="15" hidden="false" customHeight="false" outlineLevel="0" collapsed="false">
      <c r="B14" s="5" t="s">
        <v>411</v>
      </c>
      <c r="C14" s="5" t="s">
        <v>393</v>
      </c>
      <c r="D14" s="5" t="s">
        <v>382</v>
      </c>
    </row>
    <row r="15" customFormat="false" ht="15" hidden="false" customHeight="false" outlineLevel="0" collapsed="false">
      <c r="B15" s="3" t="s">
        <v>412</v>
      </c>
      <c r="C15" s="3" t="n">
        <f aca="false">COUNTIFS('Raw Data'!$U$2:$U$134,"&lt;&gt;No",'Raw Data'!$B$2:$B$134,"Yes")</f>
        <v>45</v>
      </c>
      <c r="D15" s="14" t="n">
        <f aca="false">(COUNTIFS('Raw Data'!$U$2:$U$134,"&lt;&gt;No",'Raw Data'!$W$2:$W$134,"Promoter")-COUNTIFS('Raw Data'!$U$2:$U$134,"&lt;&gt;No",'Raw Data'!$W$2:$W$134,"Detractor"))/C15*100</f>
        <v>-4.44444444444445</v>
      </c>
    </row>
    <row r="16" customFormat="false" ht="15" hidden="false" customHeight="false" outlineLevel="0" collapsed="false">
      <c r="B16" s="3" t="s">
        <v>413</v>
      </c>
      <c r="C16" s="3" t="n">
        <f aca="false">COUNTIFS('Raw Data'!$U$2:$U$134,"No",'Raw Data'!$B$2:$B$134,"Yes")</f>
        <v>78</v>
      </c>
      <c r="D16" s="14" t="n">
        <f aca="false">(COUNTIFS('Raw Data'!$U$2:$U$134,"No",'Raw Data'!$W$2:$W$134,"Promoter")-COUNTIFS('Raw Data'!$U$2:$U$134,"No",'Raw Data'!$W$2:$W$134,"Detractor"))/C16*100</f>
        <v>20.5128205128205</v>
      </c>
    </row>
  </sheetData>
  <mergeCells count="1">
    <mergeCell ref="B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0"/>
  </cols>
  <sheetData>
    <row r="2" customFormat="false" ht="19.7" hidden="false" customHeight="false" outlineLevel="0" collapsed="false">
      <c r="B2" s="1" t="s">
        <v>414</v>
      </c>
    </row>
    <row r="4" customFormat="false" ht="27.75" hidden="false" customHeight="true" outlineLevel="0" collapsed="false">
      <c r="B4" s="6" t="s">
        <v>415</v>
      </c>
      <c r="C4" s="6"/>
    </row>
    <row r="7" customFormat="false" ht="15" hidden="false" customHeight="false" outlineLevel="0" collapsed="false">
      <c r="B7" s="5" t="s">
        <v>416</v>
      </c>
      <c r="C7" s="5" t="s">
        <v>417</v>
      </c>
    </row>
    <row r="8" customFormat="false" ht="15" hidden="false" customHeight="false" outlineLevel="0" collapsed="false">
      <c r="B8" s="10" t="s">
        <v>418</v>
      </c>
      <c r="C8" s="11" t="n">
        <f aca="false">COUNTA('Raw Data'!$A$2:$A$134)</f>
        <v>133</v>
      </c>
    </row>
    <row r="9" customFormat="false" ht="15" hidden="false" customHeight="false" outlineLevel="0" collapsed="false">
      <c r="B9" s="10" t="s">
        <v>419</v>
      </c>
      <c r="C9" s="11" t="n">
        <f aca="false">COUNTIF('Raw Data'!$B$2:$B$134,"Yes")</f>
        <v>123</v>
      </c>
    </row>
    <row r="10" customFormat="false" ht="15" hidden="false" customHeight="false" outlineLevel="0" collapsed="false">
      <c r="B10" s="10" t="s">
        <v>420</v>
      </c>
      <c r="C10" s="12" t="n">
        <f aca="false">'Overall NPS'!C11</f>
        <v>11.3821138211382</v>
      </c>
    </row>
    <row r="11" customFormat="false" ht="15" hidden="false" customHeight="false" outlineLevel="0" collapsed="false">
      <c r="B11" s="10" t="s">
        <v>421</v>
      </c>
      <c r="C11" s="13" t="n">
        <f aca="false">COUNTIF('Raw Data'!$M$2:$M$134,"Yes")/COUNTIF('Raw Data'!$B$2:$B$134,"Yes")</f>
        <v>0.373983739837398</v>
      </c>
    </row>
    <row r="12" customFormat="false" ht="15" hidden="false" customHeight="false" outlineLevel="0" collapsed="false">
      <c r="B12" s="10" t="s">
        <v>422</v>
      </c>
      <c r="C12" s="13" t="n">
        <f aca="false">COUNTIF('Raw Data'!$O$2:$O$134,"Yes")/COUNTIF('Raw Data'!$B$2:$B$134,"Yes")</f>
        <v>0.219512195121951</v>
      </c>
    </row>
    <row r="13" customFormat="false" ht="15" hidden="false" customHeight="false" outlineLevel="0" collapsed="false">
      <c r="B13" s="10" t="s">
        <v>423</v>
      </c>
      <c r="C13" s="13" t="n">
        <f aca="false">COUNTIF('Raw Data'!$P$2:$P$134,"Yes")/COUNTIF('Raw Data'!$B$2:$B$134,"Yes")</f>
        <v>0.463414634146342</v>
      </c>
    </row>
    <row r="14" customFormat="false" ht="15" hidden="false" customHeight="false" outlineLevel="0" collapsed="false">
      <c r="B14" s="10" t="s">
        <v>424</v>
      </c>
      <c r="C14" s="13" t="n">
        <f aca="false">COUNTIF('Raw Data'!$U$2:$U$134,"&lt;&gt;No")/COUNTIF('Raw Data'!$B$2:$B$134,"Yes")</f>
        <v>0.382113821138211</v>
      </c>
    </row>
    <row r="16" customFormat="false" ht="15" hidden="false" customHeight="false" outlineLevel="0" collapsed="false">
      <c r="B16" s="9" t="s">
        <v>425</v>
      </c>
    </row>
    <row r="17" customFormat="false" ht="30" hidden="false" customHeight="true" outlineLevel="0" collapsed="false">
      <c r="B17" s="15" t="s">
        <v>426</v>
      </c>
      <c r="C17" s="15"/>
    </row>
  </sheetData>
  <mergeCells count="2">
    <mergeCell ref="B4:C4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2026-09-12T14:14:00Z</dcterms:created>
  <dc:creator>openpyxl</dc:creator>
  <dc:description/>
  <dc:language>en-US</dc:language>
  <cp:lastModifiedBy/>
  <dcterms:modified xsi:type="dcterms:W3CDTF">2026-09-12T14:14:02Z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