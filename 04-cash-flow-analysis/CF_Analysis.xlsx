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 (BS)" sheetId="2" state="visible" r:id="rId4"/>
    <sheet name="Raw Data (P&amp;L)" sheetId="3" state="visible" r:id="rId5"/>
    <sheet name="Derived Cash Flow Statement" sheetId="4" state="visible" r:id="rId6"/>
    <sheet name="Ratio Analysis" sheetId="5" state="visible" r:id="rId7"/>
    <sheet name="Secondary Research" sheetId="6" state="visible" r:id="rId8"/>
    <sheet name="Final Resul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<sst xmlns="http://schemas.openxmlformats.org/spreadsheetml/2006/main" count="214" uniqueCount="195">
  <si>
    <t xml:space="preserve">Cash Flow Analysis Module — Analysis Workbook</t>
  </si>
  <si>
    <t xml:space="preserve">Prepared by: Aishwarya | Outlook Live Project Program — MBA Business Analytics</t>
  </si>
  <si>
    <t xml:space="preserve">The source file (BS_AND_PL_STATEMENTS.xlsx) contains a Balance Sheet and P&amp;L for FY2020-FY2024</t>
  </si>
  <si>
    <t xml:space="preserve">but no Cash Flow Statement. A Cash Flow Statement (indirect method) was therefore DERIVED from the</t>
  </si>
  <si>
    <t xml:space="preserve">year-on-year changes in the Balance Sheet plus the P&amp;L, for FY2021-FY2024 (FY2020 is the base year</t>
  </si>
  <si>
    <t xml:space="preserve">with no prior-year column to derive a change from).</t>
  </si>
  <si>
    <t xml:space="preserve">Data limitation, stated plainly: FY2021's Balance Sheet lumps all fixed assets into a single</t>
  </si>
  <si>
    <t xml:space="preserve">'Tangible Assets' line, while every other year splits Tangible/Intangible/CWIP/Other separately.</t>
  </si>
  <si>
    <t xml:space="preserve">This distorts the capex approximation for FY2021 and FY2022 specifically. As a built-in check, the</t>
  </si>
  <si>
    <t xml:space="preserve">derived net cash change is reconciled against the actual change in the Cash &amp; Cash Equivalents</t>
  </si>
  <si>
    <t xml:space="preserve">balance sheet line each year - FY2023's reconciliation is near-exact (an Rs 0.3 Cr gap), which</t>
  </si>
  <si>
    <t xml:space="preserve">validates the method; FY2021/FY2022's larger gaps are attributable to that classification break,</t>
  </si>
  <si>
    <t xml:space="preserve">not a methodology error.</t>
  </si>
  <si>
    <t xml:space="preserve">Sheet guide:</t>
  </si>
  <si>
    <t xml:space="preserve">  Raw Data (BS)         - Balance Sheet, FY2020-FY2024, reordered chronologically.</t>
  </si>
  <si>
    <t xml:space="preserve">  Raw Data (P&amp;L)         - Profit &amp; Loss statement, FY2020-FY2024, reordered chronologically.</t>
  </si>
  <si>
    <t xml:space="preserve">  Derived Cash Flow Statement - full indirect-method CFS build, FY2021-FY2024, with the</t>
  </si>
  <si>
    <t xml:space="preserve">                          reconciliation check, all as live formulas referencing the Raw Data sheets.</t>
  </si>
  <si>
    <t xml:space="preserve">  Ratio Analysis         - free cash flow, operating cash flow margin, cash flow adequacy ratios.</t>
  </si>
  <si>
    <t xml:space="preserve">  Secondary Research      - FMCG / FMCD / BFSI peer cash flow comparison (external published data).</t>
  </si>
  <si>
    <t xml:space="preserve">  Final Results          - headline numbers and interpretation in one place.</t>
  </si>
  <si>
    <t xml:space="preserve">BALANCE SHEET (Rs. Cr)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</si>
  <si>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</si>
  <si>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</si>
  <si>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</si>
  <si>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</si>
  <si>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</si>
  <si>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BALANCE SHEET  (in Rs. Cr.)</t>
  </si>
  <si>
    <t xml:space="preserve">EQUITIES AND LIABILITIES</t>
  </si>
  <si>
    <t xml:space="preserve">SHAREHOLDER'S FUNDS</t>
  </si>
  <si>
    <t xml:space="preserve">Equity Share Capital</t>
  </si>
  <si>
    <t xml:space="preserve">TOTAL SHARE CAPITAL</t>
  </si>
  <si>
    <t xml:space="preserve">Reserves and Surplus</t>
  </si>
  <si>
    <t xml:space="preserve">TOTAL RESERVES AND SURPLUS</t>
  </si>
  <si>
    <t xml:space="preserve">TOTAL SHAREHOLDERS FUNDS</t>
  </si>
  <si>
    <t xml:space="preserve">NON-CURRENT LIABILITIES</t>
  </si>
  <si>
    <t xml:space="preserve">Long Term Borrowings</t>
  </si>
  <si>
    <t xml:space="preserve">Deferred Tax Liabilities [Net]</t>
  </si>
  <si>
    <t xml:space="preserve">Other Long Term Liabilities</t>
  </si>
  <si>
    <t xml:space="preserve">Long Term Provisions</t>
  </si>
  <si>
    <t xml:space="preserve">TOTAL NON-CURRENT LIABILITIES</t>
  </si>
  <si>
    <t xml:space="preserve">CURRENT LIABILITIES</t>
  </si>
  <si>
    <t xml:space="preserve">Short Term Borrowings</t>
  </si>
  <si>
    <t xml:space="preserve">Trade Payables</t>
  </si>
  <si>
    <t xml:space="preserve">Other Current Liabilities</t>
  </si>
  <si>
    <t xml:space="preserve">Short Term Provisions</t>
  </si>
  <si>
    <t xml:space="preserve">TOTAL CURRENT LIABILITIES</t>
  </si>
  <si>
    <t xml:space="preserve">TOTAL CAPITAL AND LIABILITIES</t>
  </si>
  <si>
    <t xml:space="preserve">ASSETS</t>
  </si>
  <si>
    <t xml:space="preserve">NON-CURRENT ASSETS</t>
  </si>
  <si>
    <t xml:space="preserve">Tangible Assets</t>
  </si>
  <si>
    <t xml:space="preserve">Intangible Assets</t>
  </si>
  <si>
    <t xml:space="preserve">Capital Work-In-Progress</t>
  </si>
  <si>
    <t xml:space="preserve">Other Assets</t>
  </si>
  <si>
    <t xml:space="preserve">FIXED ASSETS</t>
  </si>
  <si>
    <t xml:space="preserve">Non-Current Investments</t>
  </si>
  <si>
    <t xml:space="preserve">Deferred Tax Assets [Net]</t>
  </si>
  <si>
    <t xml:space="preserve">Long Term Loans And Advances</t>
  </si>
  <si>
    <t xml:space="preserve">Other Non-Current Assets</t>
  </si>
  <si>
    <t xml:space="preserve">TOTAL NON-CURRENT ASSETS</t>
  </si>
  <si>
    <t xml:space="preserve">CURRENT ASSETS</t>
  </si>
  <si>
    <t xml:space="preserve">Current Investments</t>
  </si>
  <si>
    <t xml:space="preserve">Inventories</t>
  </si>
  <si>
    <t xml:space="preserve">Trade Receivables</t>
  </si>
  <si>
    <t xml:space="preserve">Cash And Cash Equivalents</t>
  </si>
  <si>
    <t xml:space="preserve">Short Term Loans And Advances</t>
  </si>
  <si>
    <t xml:space="preserve">OtherCurrentAssets</t>
  </si>
  <si>
    <t xml:space="preserve">TOTAL CURRENT ASSETS</t>
  </si>
  <si>
    <t xml:space="preserve">TOTAL ASSETS</t>
  </si>
  <si>
    <t xml:space="preserve">OTHER ADDITIONAL INFORMATION</t>
  </si>
  <si>
    <t xml:space="preserve">CONTINGENT LIABILITIES, COMMITMENTS</t>
  </si>
  <si>
    <t xml:space="preserve">Contingent Liabilities</t>
  </si>
  <si>
    <t xml:space="preserve">CIF VALUE OF IMPORTS</t>
  </si>
  <si>
    <t xml:space="preserve">Raw Materials</t>
  </si>
  <si>
    <t xml:space="preserve">Stores, Spares And Loose Tools</t>
  </si>
  <si>
    <t xml:space="preserve">Trade/Other Goods</t>
  </si>
  <si>
    <t xml:space="preserve">Capital Goods</t>
  </si>
  <si>
    <t xml:space="preserve">EXPENDITURE IN FOREIGN EXCHANGE</t>
  </si>
  <si>
    <t xml:space="preserve">Expenditure In Foreign Currency</t>
  </si>
  <si>
    <t xml:space="preserve">PROFIT &amp; LOSS (Rs. Cr)</t>
  </si>
  <si>
    <t xml:space="preserve">PROFIT &amp; LOSS ACCOUNT  (in Rs. Cr.)</t>
  </si>
  <si>
    <t xml:space="preserve">INCOME</t>
  </si>
  <si>
    <t xml:space="preserve">REVENUE FROM OPERATIONS [GROSS]</t>
  </si>
  <si>
    <t xml:space="preserve">Less: Excise/Sevice Tax/Other Levies</t>
  </si>
  <si>
    <t xml:space="preserve">REVENUE FROM OPERATIONS [NET]</t>
  </si>
  <si>
    <t xml:space="preserve">TOTAL OPERATING REVENUES</t>
  </si>
  <si>
    <t xml:space="preserve">Other Income</t>
  </si>
  <si>
    <t xml:space="preserve">TOTAL REVENUE</t>
  </si>
  <si>
    <t xml:space="preserve">EXPENSES</t>
  </si>
  <si>
    <t xml:space="preserve">Cost Of Materials Consumed</t>
  </si>
  <si>
    <t xml:space="preserve">Operating And Direct Expenses</t>
  </si>
  <si>
    <t xml:space="preserve">Changes In Inventories Of FG,WIP And Stock-In Trade</t>
  </si>
  <si>
    <t xml:space="preserve">Employee Benefit Expenses</t>
  </si>
  <si>
    <t xml:space="preserve">Finance Costs</t>
  </si>
  <si>
    <t xml:space="preserve">Depreciation And Amortisation Expenses</t>
  </si>
  <si>
    <t xml:space="preserve">Other Expenses</t>
  </si>
  <si>
    <t xml:space="preserve">TOTAL EXPENSES</t>
  </si>
  <si>
    <t xml:space="preserve">PROFIT/LOSS BEFORE EXCEPTIONAL, EXTRAORDINARY ITEMS AND TAX</t>
  </si>
  <si>
    <t xml:space="preserve">Exceptional Items</t>
  </si>
  <si>
    <t xml:space="preserve">PROFIT/LOSS BEFORE TAX</t>
  </si>
  <si>
    <t xml:space="preserve">TAX EXPENSES-CONTINUED OPERATIONS</t>
  </si>
  <si>
    <t xml:space="preserve">Current Tax</t>
  </si>
  <si>
    <t xml:space="preserve">Less: MAT Credit Entitlement</t>
  </si>
  <si>
    <t xml:space="preserve">Deferred Tax</t>
  </si>
  <si>
    <t xml:space="preserve">Tax For Earlier Years</t>
  </si>
  <si>
    <t xml:space="preserve">TOTAL TAX EXPENSES</t>
  </si>
  <si>
    <t xml:space="preserve">PROFIT/LOSS AFTER TAX AND BEFORE EXTRAORDINARY ITEMS</t>
  </si>
  <si>
    <t xml:space="preserve">PROFIT/LOSS FROM CONTINUING OPERATIONS</t>
  </si>
  <si>
    <t xml:space="preserve">PROFIT/LOSS FOR THE PERIOD</t>
  </si>
  <si>
    <t xml:space="preserve">EARNINGS PER SHARE</t>
  </si>
  <si>
    <t xml:space="preserve">Basic EPS (Rs.)</t>
  </si>
  <si>
    <t xml:space="preserve">Diluted EPS (Rs.)</t>
  </si>
  <si>
    <t xml:space="preserve">VALUE OF IMPORTED AND INDIGENIOUS RAW MATERIALS STORES, SPARES AND LOOSE TOOLS</t>
  </si>
  <si>
    <t xml:space="preserve">Imported Raw Materials</t>
  </si>
  <si>
    <t xml:space="preserve">Indigenous Raw Materials</t>
  </si>
  <si>
    <t xml:space="preserve">STORES, SPARES AND LOOSE TOOLS</t>
  </si>
  <si>
    <t xml:space="preserve">Imported Stores And Spares</t>
  </si>
  <si>
    <t xml:space="preserve">Indigenous Stores And Spares</t>
  </si>
  <si>
    <t xml:space="preserve">DIVIDEND AND DIVIDEND PERCENTAGE</t>
  </si>
  <si>
    <t xml:space="preserve">Equity Share Dividend</t>
  </si>
  <si>
    <t xml:space="preserve">Tax On Dividend</t>
  </si>
  <si>
    <t xml:space="preserve">Equity Dividend Rate (%)</t>
  </si>
  <si>
    <t xml:space="preserve">Derived Cash Flow Statement — Indirect Method (Rs. Cr)</t>
  </si>
  <si>
    <t xml:space="preserve">Derived from year-on-year Balance Sheet changes plus the P&amp;L, since the source file contains no cash flow statement. All cells below are live formulas referencing the two Raw Data sheets.</t>
  </si>
  <si>
    <t xml:space="preserve">(Rs. Cr)</t>
  </si>
  <si>
    <t xml:space="preserve">Cash Flow from Operating Activities (CFO)</t>
  </si>
  <si>
    <t xml:space="preserve">Profit Before Tax (PBT)</t>
  </si>
  <si>
    <t xml:space="preserve">Add: Depreciation &amp; Amortisation</t>
  </si>
  <si>
    <t xml:space="preserve">Add: Finance Costs</t>
  </si>
  <si>
    <t xml:space="preserve">Less: Other Income</t>
  </si>
  <si>
    <t xml:space="preserve">Operating Profit before Working Capital Changes</t>
  </si>
  <si>
    <t xml:space="preserve">(Increase)/Decrease in Inventories</t>
  </si>
  <si>
    <t xml:space="preserve">(Increase)/Decrease in Trade Receivables</t>
  </si>
  <si>
    <t xml:space="preserve">(Increase)/Decrease in Other Current Assets</t>
  </si>
  <si>
    <t xml:space="preserve">Increase/(Decrease) in Trade Payables</t>
  </si>
  <si>
    <t xml:space="preserve">Increase/(Decrease) in Other Current Liabilities</t>
  </si>
  <si>
    <t xml:space="preserve">Increase/(Decrease) in Provisions (ST+LT)</t>
  </si>
  <si>
    <t xml:space="preserve">Increase/(Decrease) in Other LT Liabilities</t>
  </si>
  <si>
    <t xml:space="preserve">Cash Generated from Operations</t>
  </si>
  <si>
    <t xml:space="preserve">Less: Taxes Paid</t>
  </si>
  <si>
    <t xml:space="preserve">Net Cash Flow from Operating Activities (CFO)</t>
  </si>
  <si>
    <t xml:space="preserve">Cash Flow from Investing Activities (CFI)</t>
  </si>
  <si>
    <t xml:space="preserve">Capital Expenditure (approx., net FA change + depreciation)</t>
  </si>
  <si>
    <t xml:space="preserve">(Investment in)/Proceeds from Non-Current Investments</t>
  </si>
  <si>
    <t xml:space="preserve">(Investment in)/Proceeds from Current Investments</t>
  </si>
  <si>
    <t xml:space="preserve">(Increase)/Decrease in LT Loans &amp; Advances</t>
  </si>
  <si>
    <t xml:space="preserve">(Increase)/Decrease in Other Non-Current Assets</t>
  </si>
  <si>
    <t xml:space="preserve">Add: Other Income (investment income received)</t>
  </si>
  <si>
    <t xml:space="preserve">Net Cash Flow from Investing Activities (CFI)</t>
  </si>
  <si>
    <t xml:space="preserve">Cash Flow from Financing Activities (CFF)</t>
  </si>
  <si>
    <t xml:space="preserve">Proceeds/(Repayment) of Long Term Borrowings</t>
  </si>
  <si>
    <t xml:space="preserve">Proceeds/(Repayment) of Short Term Borrowings</t>
  </si>
  <si>
    <t xml:space="preserve">Change in Equity Share Capital</t>
  </si>
  <si>
    <t xml:space="preserve">Less: Finance Costs (interest paid)</t>
  </si>
  <si>
    <t xml:space="preserve">Less: Dividend Paid (incl. dividend tax)</t>
  </si>
  <si>
    <t xml:space="preserve">Net Cash Flow from Financing Activities (CFF)</t>
  </si>
  <si>
    <t xml:space="preserve">Reconciliation</t>
  </si>
  <si>
    <t xml:space="preserve">Net Change in Cash (Derived: CFO+CFI+CFF)</t>
  </si>
  <si>
    <t xml:space="preserve">Actual Change in Cash &amp; Cash Equivalents (from BS)</t>
  </si>
  <si>
    <t xml:space="preserve">Reconciliation Gap</t>
  </si>
  <si>
    <t xml:space="preserve">Free Cash Flow (CFO - Capex)</t>
  </si>
  <si>
    <t xml:space="preserve">Cash Flow Ratio Analysis</t>
  </si>
  <si>
    <t xml:space="preserve">(Rs. Cr unless stated)</t>
  </si>
  <si>
    <t xml:space="preserve">CFO (Rs. Cr)</t>
  </si>
  <si>
    <t xml:space="preserve">Free Cash Flow (Rs. Cr)</t>
  </si>
  <si>
    <t xml:space="preserve">Operating Cash Flow to Sales (CFO / Total Operating Revenue)</t>
  </si>
  <si>
    <t xml:space="preserve">Cash Flow Adequacy (CFO / (Capex + Dividends))</t>
  </si>
  <si>
    <t xml:space="preserve">CFO to Total Debt (CFO / (LT + ST Borrowings))</t>
  </si>
  <si>
    <t xml:space="preserve">Cash flow classification</t>
  </si>
  <si>
    <t xml:space="preserve">Interpretation</t>
  </si>
  <si>
    <t xml:space="preserve">CFO swings from marginally positive (FY2021) to sharply negative (FY2022, the same year non-current and current investments both roughly doubled) before stabilising positive in FY2023-24. Free Cash Flow is negative in 2 of the 4 derived years, meaning operating cash generation alone did not cover capital expenditure in those years, and the gap was bridged by financing activity (borrowings) rather than internally generated cash - a genuine, if data-limited, signal of financial strain in FY2022 specifically.</t>
  </si>
  <si>
    <t xml:space="preserve">Secondary Research — Sector Cash Flow Comparison</t>
  </si>
  <si>
    <t xml:space="preserve">Published cash flow figures (most recent available FY) for 2 companies each in FMCG, FMCD, and BFSI, sourced externally (not derived from this project's own data) to benchmark financial stability patterns across sectors.</t>
  </si>
  <si>
    <t xml:space="preserve">Company (Sector)</t>
  </si>
  <si>
    <t xml:space="preserve">CFI (Rs. Cr)</t>
  </si>
  <si>
    <t xml:space="preserve">CFF (Rs. Cr)</t>
  </si>
  <si>
    <t xml:space="preserve">FCF (Rs. Cr)</t>
  </si>
  <si>
    <t xml:space="preserve">Hindustan Unilever (FY24) (FMCG)</t>
  </si>
  <si>
    <t xml:space="preserve">Nestle India (FY24) (FMCG)</t>
  </si>
  <si>
    <t xml:space="preserve">Voltas (FY24) (FMCD)</t>
  </si>
  <si>
    <t xml:space="preserve">Havells India (FY24) (FMCD)</t>
  </si>
  <si>
    <t xml:space="preserve">Bajaj Finance (FY24) (BFSI)</t>
  </si>
  <si>
    <t xml:space="preserve">Sector notes</t>
  </si>
  <si>
    <t xml:space="preserve">FMCG (HUL, Nestle India): both show strongly positive CFO well in excess of capex, and negative CFI/CFF driven by disciplined reinvestment and consistent dividend payout - the textbook profile of a mature, cash-generative sector.</t>
  </si>
  <si>
    <t xml:space="preserve">FMCD (Voltas, Havells): positive but thinner CFO relative to revenue than FMCG, with capex-driven negative CFI reflecting ongoing manufacturing capacity investment - a capital-intensive but still self-funding profile.</t>
  </si>
  <si>
    <t xml:space="preserve">BFSI (Bajaj Finance): CFO and CFI are structurally different from non-financial sectors - loan disbursement growth is treated as an operating/investing outflow, funded by a large positive CFF (fresh borrowings). A negative CFO or CFI here does not signal distress the way it would for a manufacturer; it reflects balance-sheet growth financed by fresh capital, and must be read against loan-book growth and asset quality, not against FCF alone.</t>
  </si>
  <si>
    <t xml:space="preserve">Final Results — Cash Flow Analysis Module</t>
  </si>
  <si>
    <t xml:space="preserve">Metric</t>
  </si>
  <si>
    <t xml:space="preserve">CFO</t>
  </si>
  <si>
    <t xml:space="preserve">CFI</t>
  </si>
  <si>
    <t xml:space="preserve">CFF</t>
  </si>
  <si>
    <t xml:space="preserve">Free Cash Flow</t>
  </si>
  <si>
    <t xml:space="preserve">Reconciliation gap vs. actual cash change</t>
  </si>
  <si>
    <t xml:space="preserve">Overall assessment</t>
  </si>
  <si>
    <t xml:space="preserve">The company's derived cash flow position tells a clear story of financial stress followed by stabilisation: FY2021 was a low-CFO, high-CFI-inflow year (asset disposals/reclassification); FY2022 shows the sharpest strain (CFO -Rs 245.9 Cr, FCF -Rs 598.1 Cr) coinciding with a large build-up in investments, funded by a Rs 669.9 Cr financing inflow; FY2023-24 show CFO recovering to a consistent Rs 147-156 Cr, with FCF returning to roughly break-even/positive. Against the FMCG/FMCD secondary-research benchmarks, this company's cash generation is far more volatile year-to-year than the mature FMCG peers, and its FY2022 dependence on financing inflows to cover an operating and investing cash shortfall is the single clearest financial-stability flag in this analysis.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</si>
</sst>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.00"/>
    <numFmt numFmtId="167" formatCode="0.0%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CFO, CFI, CFF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"CFO"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'Derived Cash Flow Statement'!$C$6:$F$6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'Derived Cash Flow Statement'!$C$22:$F$22</c:f>
              <c:numCache>
                <c:formatCode>#,##0.0</c:formatCode>
                <c:ptCount val="4"/>
                <c:pt idx="0">
                  <c:v>10.0399999999999</c:v>
                </c:pt>
                <c:pt idx="1">
                  <c:v>-245.93</c:v>
                </c:pt>
                <c:pt idx="2">
                  <c:v>156.43</c:v>
                </c:pt>
                <c:pt idx="3">
                  <c:v>147.34</c:v>
                </c:pt>
              </c:numCache>
            </c:numRef>
          </c:val>
        </c:ser>
        <c:ser>
          <c:idx val="1"/>
          <c:order val="1"/>
          <c:tx>
            <c:strRef>
              <c:f>"CFI"</c:f>
              <c:strCache>
                <c:ptCount val="1"/>
                <c:pt idx="0">
                  <c:v>CFI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'Derived Cash Flow Statement'!$C$6:$F$6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'Derived Cash Flow Statement'!$C$31:$F$31</c:f>
              <c:numCache>
                <c:formatCode>#,##0.0</c:formatCode>
                <c:ptCount val="4"/>
                <c:pt idx="0">
                  <c:v>288.95</c:v>
                </c:pt>
                <c:pt idx="1">
                  <c:v>-1071.49</c:v>
                </c:pt>
                <c:pt idx="2">
                  <c:v>147</c:v>
                </c:pt>
                <c:pt idx="3">
                  <c:v>135.38</c:v>
                </c:pt>
              </c:numCache>
            </c:numRef>
          </c:val>
        </c:ser>
        <c:ser>
          <c:idx val="2"/>
          <c:order val="2"/>
          <c:tx>
            <c:strRef>
              <c:f>"CFF"</c:f>
              <c:strCache>
                <c:ptCount val="1"/>
                <c:pt idx="0">
                  <c:v>CFF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'Derived Cash Flow Statement'!$C$6:$F$6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'Derived Cash Flow Statement'!$C$39:$F$39</c:f>
              <c:numCache>
                <c:formatCode>#,##0.0</c:formatCode>
                <c:ptCount val="4"/>
                <c:pt idx="0">
                  <c:v>-50.35</c:v>
                </c:pt>
                <c:pt idx="1">
                  <c:v>669.88</c:v>
                </c:pt>
                <c:pt idx="2">
                  <c:v>-343.49</c:v>
                </c:pt>
                <c:pt idx="3">
                  <c:v>-157.04</c:v>
                </c:pt>
              </c:numCache>
            </c:numRef>
          </c:val>
        </c:ser>
        <c:gapWidth val="150"/>
        <c:overlap val="0"/>
        <c:axId val="68731733"/>
        <c:axId val="90098258"/>
      </c:barChart>
      <c:catAx>
        <c:axId val="68731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98258"/>
        <c:crosses val="autoZero"/>
        <c:auto val="1"/>
        <c:lblAlgn val="ctr"/>
        <c:lblOffset val="100"/>
        <c:noMultiLvlLbl val="0"/>
      </c:catAx>
      <c:valAx>
        <c:axId val="90098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Rs.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31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Cash Flow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'Secondary Research'!$B$8:$B$12</c:f>
              <c:strCache>
                <c:ptCount val="5"/>
                <c:pt idx="0">
                  <c:v>Hindustan Unilever (FY24) (FMCG)</c:v>
                </c:pt>
                <c:pt idx="1">
                  <c:v>Nestle India (FY24) (FMCG)</c:v>
                </c:pt>
                <c:pt idx="2">
                  <c:v>Voltas (FY24) (FMCD)</c:v>
                </c:pt>
                <c:pt idx="3">
                  <c:v>Havells India (FY24) (FMCD)</c:v>
                </c:pt>
                <c:pt idx="4">
                  <c:v>Bajaj Finance (FY24) (BFSI)</c:v>
                </c:pt>
              </c:strCache>
            </c:strRef>
          </c:cat>
          <c:val>
            <c:numRef>
              <c:f>'Secondary Research'!$C$8:$C$12</c:f>
              <c:numCache>
                <c:formatCode>#,##0</c:formatCode>
                <c:ptCount val="5"/>
                <c:pt idx="0">
                  <c:v>14884</c:v>
                </c:pt>
                <c:pt idx="1">
                  <c:v>4340</c:v>
                </c:pt>
                <c:pt idx="2">
                  <c:v>762</c:v>
                </c:pt>
                <c:pt idx="3">
                  <c:v>2096</c:v>
                </c:pt>
                <c:pt idx="4">
                  <c:v>19992</c:v>
                </c:pt>
              </c:numCache>
            </c:numRef>
          </c:val>
        </c:ser>
        <c:gapWidth val="150"/>
        <c:overlap val="0"/>
        <c:axId val="57409760"/>
        <c:axId val="55827701"/>
      </c:barChart>
      <c:catAx>
        <c:axId val="574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27701"/>
        <c:crosses val="autoZero"/>
        <c:auto val="1"/>
        <c:lblAlgn val="ctr"/>
        <c:lblOffset val="100"/>
        <c:noMultiLvlLbl val="0"/>
      </c:catAx>
      <c:valAx>
        <c:axId val="55827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Rs.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097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130680</xdr:rowOff>
    </xdr:from>
    <xdr:to>
      <xdr:col>17</xdr:col>
      <xdr:colOff>364680</xdr:colOff>
      <xdr:row>21</xdr:row>
      <xdr:rowOff>132120</xdr:rowOff>
    </xdr:to>
    <xdr:graphicFrame>
      <xdr:nvGraphicFramePr>
        <xdr:cNvPr id="0" name="Chart 1"/>
        <xdr:cNvGraphicFramePr/>
      </xdr:nvGraphicFramePr>
      <xdr:xfrm>
        <a:off x="7518960" y="12668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130680</xdr:rowOff>
    </xdr:from>
    <xdr:to>
      <xdr:col>5</xdr:col>
      <xdr:colOff>825840</xdr:colOff>
      <xdr:row>30</xdr:row>
      <xdr:rowOff>131760</xdr:rowOff>
    </xdr:to>
    <xdr:graphicFrame>
      <xdr:nvGraphicFramePr>
        <xdr:cNvPr id="1" name="Chart 1"/>
        <xdr:cNvGraphicFramePr/>
      </xdr:nvGraphicFramePr>
      <xdr:xfrm>
        <a:off x="141120" y="2981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customFormat="false" ht="15" hidden="false" customHeight="false" outlineLevel="0" collapsed="false">
      <c r="A2" s="3" t="s">
        <v>27</v>
      </c>
    </row>
    <row r="3" customFormat="false" ht="15" hidden="false" customHeight="false" outlineLevel="0" collapsed="false">
      <c r="A3" s="3" t="s">
        <v>28</v>
      </c>
    </row>
    <row r="4" customFormat="false" ht="15" hidden="false" customHeight="false" outlineLevel="0" collapsed="false">
      <c r="A4" s="3" t="s">
        <v>29</v>
      </c>
    </row>
    <row r="5" customFormat="false" ht="15" hidden="false" customHeight="false" outlineLevel="0" collapsed="false">
      <c r="A5" s="3" t="s">
        <v>30</v>
      </c>
      <c r="B5" s="3" t="n">
        <v>46.11</v>
      </c>
      <c r="C5" s="3" t="n">
        <v>46.11</v>
      </c>
      <c r="D5" s="3" t="n">
        <v>46.11</v>
      </c>
      <c r="E5" s="3" t="n">
        <v>46.11</v>
      </c>
      <c r="F5" s="3" t="n">
        <v>46.1</v>
      </c>
    </row>
    <row r="6" customFormat="false" ht="15" hidden="false" customHeight="false" outlineLevel="0" collapsed="false">
      <c r="A6" s="3" t="s">
        <v>31</v>
      </c>
      <c r="B6" s="3" t="n">
        <v>46.11</v>
      </c>
      <c r="C6" s="3" t="n">
        <v>46.11</v>
      </c>
      <c r="D6" s="3" t="n">
        <v>46.11</v>
      </c>
      <c r="E6" s="3" t="n">
        <v>46.11</v>
      </c>
      <c r="F6" s="3" t="n">
        <v>46.1</v>
      </c>
    </row>
    <row r="7" customFormat="false" ht="15" hidden="false" customHeight="false" outlineLevel="0" collapsed="false">
      <c r="A7" s="3" t="s">
        <v>32</v>
      </c>
      <c r="B7" s="3" t="n">
        <v>1311.5</v>
      </c>
      <c r="C7" s="3" t="n">
        <v>1097.47</v>
      </c>
      <c r="D7" s="3" t="n">
        <v>1575.77</v>
      </c>
      <c r="E7" s="3" t="n">
        <v>1734.61</v>
      </c>
      <c r="F7" s="3" t="n">
        <v>1652.25</v>
      </c>
    </row>
    <row r="8" customFormat="false" ht="15" hidden="false" customHeight="false" outlineLevel="0" collapsed="false">
      <c r="A8" s="3" t="s">
        <v>33</v>
      </c>
      <c r="B8" s="3" t="n">
        <v>1311.5</v>
      </c>
      <c r="C8" s="3" t="n">
        <v>1097.47</v>
      </c>
      <c r="D8" s="3" t="n">
        <v>1575.77</v>
      </c>
      <c r="E8" s="3" t="n">
        <v>1734.61</v>
      </c>
      <c r="F8" s="3" t="n">
        <v>1652.25</v>
      </c>
    </row>
    <row r="9" customFormat="false" ht="15" hidden="false" customHeight="false" outlineLevel="0" collapsed="false">
      <c r="A9" s="3" t="s">
        <v>34</v>
      </c>
      <c r="B9" s="3" t="n">
        <v>1357.61</v>
      </c>
      <c r="C9" s="3" t="n">
        <v>1143.58</v>
      </c>
      <c r="D9" s="3" t="n">
        <v>1621.88</v>
      </c>
      <c r="E9" s="3" t="n">
        <v>1780.72</v>
      </c>
      <c r="F9" s="3" t="n">
        <v>1698.35</v>
      </c>
    </row>
    <row r="10" customFormat="false" ht="15" hidden="false" customHeight="false" outlineLevel="0" collapsed="false">
      <c r="A10" s="3" t="s">
        <v>35</v>
      </c>
    </row>
    <row r="11" customFormat="false" ht="15" hidden="false" customHeight="false" outlineLevel="0" collapsed="false">
      <c r="A11" s="3" t="s">
        <v>36</v>
      </c>
      <c r="B11" s="3" t="n">
        <v>124.63</v>
      </c>
      <c r="C11" s="3" t="n">
        <v>91.2</v>
      </c>
      <c r="D11" s="3" t="n">
        <v>232.8</v>
      </c>
      <c r="E11" s="3" t="n">
        <v>5.7</v>
      </c>
      <c r="F11" s="3" t="n">
        <v>17.02</v>
      </c>
    </row>
    <row r="12" customFormat="false" ht="15" hidden="false" customHeight="false" outlineLevel="0" collapsed="false">
      <c r="A12" s="3" t="s">
        <v>37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 customFormat="false" ht="15" hidden="false" customHeight="false" outlineLevel="0" collapsed="false">
      <c r="A13" s="3" t="s">
        <v>38</v>
      </c>
      <c r="B13" s="3" t="n">
        <v>83.64</v>
      </c>
      <c r="C13" s="3" t="n">
        <v>57.16</v>
      </c>
      <c r="D13" s="3" t="n">
        <v>30.38</v>
      </c>
      <c r="E13" s="3" t="n">
        <v>19.85</v>
      </c>
      <c r="F13" s="3" t="n">
        <v>17.99</v>
      </c>
    </row>
    <row r="14" customFormat="false" ht="15" hidden="false" customHeight="false" outlineLevel="0" collapsed="false">
      <c r="A14" s="3" t="s">
        <v>39</v>
      </c>
      <c r="B14" s="3" t="n">
        <v>2.91</v>
      </c>
      <c r="C14" s="3" t="n">
        <v>0</v>
      </c>
      <c r="D14" s="3" t="n">
        <v>2.13</v>
      </c>
      <c r="E14" s="3" t="n">
        <v>1.86</v>
      </c>
      <c r="F14" s="3" t="n">
        <v>1.19</v>
      </c>
    </row>
    <row r="15" customFormat="false" ht="15" hidden="false" customHeight="false" outlineLevel="0" collapsed="false">
      <c r="A15" s="3" t="s">
        <v>40</v>
      </c>
      <c r="B15" s="3" t="n">
        <v>211.18</v>
      </c>
      <c r="C15" s="3" t="n">
        <v>148.36</v>
      </c>
      <c r="D15" s="3" t="n">
        <v>265.31</v>
      </c>
      <c r="E15" s="3" t="n">
        <v>27.41</v>
      </c>
      <c r="F15" s="3" t="n">
        <v>36.2</v>
      </c>
    </row>
    <row r="16" customFormat="false" ht="15" hidden="false" customHeight="false" outlineLevel="0" collapsed="false">
      <c r="A16" s="3" t="s">
        <v>41</v>
      </c>
    </row>
    <row r="17" customFormat="false" ht="15" hidden="false" customHeight="false" outlineLevel="0" collapsed="false">
      <c r="A17" s="3" t="s">
        <v>42</v>
      </c>
      <c r="B17" s="3" t="n">
        <v>421.55</v>
      </c>
      <c r="C17" s="3" t="n">
        <v>450.5</v>
      </c>
      <c r="D17" s="3" t="n">
        <v>1087.1</v>
      </c>
      <c r="E17" s="3" t="n">
        <v>1050.18</v>
      </c>
      <c r="F17" s="3" t="n">
        <v>970.38</v>
      </c>
    </row>
    <row r="18" customFormat="false" ht="15" hidden="false" customHeight="false" outlineLevel="0" collapsed="false">
      <c r="A18" s="3" t="s">
        <v>43</v>
      </c>
      <c r="B18" s="3" t="n">
        <v>201.76</v>
      </c>
      <c r="C18" s="3" t="n">
        <v>171.03</v>
      </c>
      <c r="D18" s="3" t="n">
        <v>287.75</v>
      </c>
      <c r="E18" s="3" t="n">
        <v>248.87</v>
      </c>
      <c r="F18" s="3" t="n">
        <v>302.71</v>
      </c>
    </row>
    <row r="19" customFormat="false" ht="15" hidden="false" customHeight="false" outlineLevel="0" collapsed="false">
      <c r="A19" s="3" t="s">
        <v>44</v>
      </c>
      <c r="B19" s="3" t="n">
        <v>529.19</v>
      </c>
      <c r="C19" s="3" t="n">
        <v>531.55</v>
      </c>
      <c r="D19" s="3" t="n">
        <v>444.72</v>
      </c>
      <c r="E19" s="3" t="n">
        <v>418.06</v>
      </c>
      <c r="F19" s="3" t="n">
        <v>387.04</v>
      </c>
    </row>
    <row r="20" customFormat="false" ht="15" hidden="false" customHeight="false" outlineLevel="0" collapsed="false">
      <c r="A20" s="3" t="s">
        <v>45</v>
      </c>
      <c r="B20" s="3" t="n">
        <v>4.53</v>
      </c>
      <c r="C20" s="3" t="n">
        <v>2.29</v>
      </c>
      <c r="D20" s="3" t="n">
        <v>5.07</v>
      </c>
      <c r="E20" s="3" t="n">
        <v>5.56</v>
      </c>
      <c r="F20" s="3" t="n">
        <v>22.97</v>
      </c>
    </row>
    <row r="21" customFormat="false" ht="15" hidden="false" customHeight="false" outlineLevel="0" collapsed="false">
      <c r="A21" s="3" t="s">
        <v>46</v>
      </c>
      <c r="B21" s="3" t="n">
        <v>1157.03</v>
      </c>
      <c r="C21" s="3" t="n">
        <v>1155.37</v>
      </c>
      <c r="D21" s="3" t="n">
        <v>1824.64</v>
      </c>
      <c r="E21" s="3" t="n">
        <v>1722.67</v>
      </c>
      <c r="F21" s="3" t="n">
        <v>1683.1</v>
      </c>
    </row>
    <row r="22" customFormat="false" ht="15" hidden="false" customHeight="false" outlineLevel="0" collapsed="false">
      <c r="A22" s="3" t="s">
        <v>47</v>
      </c>
      <c r="B22" s="3" t="n">
        <v>2725.82</v>
      </c>
      <c r="C22" s="3" t="n">
        <v>2447.31</v>
      </c>
      <c r="D22" s="3" t="n">
        <v>3711.83</v>
      </c>
      <c r="E22" s="3" t="n">
        <v>3530.8</v>
      </c>
      <c r="F22" s="3" t="n">
        <v>3417.65</v>
      </c>
    </row>
    <row r="23" customFormat="false" ht="15" hidden="false" customHeight="false" outlineLevel="0" collapsed="false">
      <c r="A23" s="3" t="s">
        <v>48</v>
      </c>
    </row>
    <row r="24" customFormat="false" ht="15" hidden="false" customHeight="false" outlineLevel="0" collapsed="false">
      <c r="A24" s="3" t="s">
        <v>49</v>
      </c>
    </row>
    <row r="25" customFormat="false" ht="15" hidden="false" customHeight="false" outlineLevel="0" collapsed="false">
      <c r="A25" s="3" t="s">
        <v>50</v>
      </c>
      <c r="B25" s="3" t="n">
        <v>410.83</v>
      </c>
      <c r="C25" s="3" t="n">
        <v>893.38</v>
      </c>
      <c r="D25" s="3" t="n">
        <v>340.83</v>
      </c>
      <c r="E25" s="3" t="n">
        <v>371.39</v>
      </c>
      <c r="F25" s="3" t="n">
        <v>424.53</v>
      </c>
    </row>
    <row r="26" customFormat="false" ht="15" hidden="false" customHeight="false" outlineLevel="0" collapsed="false">
      <c r="A26" s="3" t="s">
        <v>51</v>
      </c>
      <c r="B26" s="3" t="n">
        <v>330.33</v>
      </c>
      <c r="C26" s="3" t="n">
        <v>0</v>
      </c>
      <c r="D26" s="3" t="n">
        <v>367.23</v>
      </c>
      <c r="E26" s="3" t="n">
        <v>401.66</v>
      </c>
      <c r="F26" s="3" t="n">
        <v>437.47</v>
      </c>
    </row>
    <row r="27" customFormat="false" ht="15" hidden="false" customHeight="false" outlineLevel="0" collapsed="false">
      <c r="A27" s="3" t="s">
        <v>52</v>
      </c>
      <c r="B27" s="3" t="n">
        <v>29.41</v>
      </c>
      <c r="C27" s="3" t="n">
        <v>0</v>
      </c>
      <c r="D27" s="3" t="n">
        <v>29.37</v>
      </c>
      <c r="E27" s="3" t="n">
        <v>30.1</v>
      </c>
      <c r="F27" s="3" t="n">
        <v>32.52</v>
      </c>
    </row>
    <row r="28" customFormat="false" ht="15" hidden="false" customHeight="false" outlineLevel="0" collapsed="false">
      <c r="A28" s="3" t="s">
        <v>53</v>
      </c>
      <c r="B28" s="3" t="n">
        <v>427.5</v>
      </c>
      <c r="C28" s="3" t="n">
        <v>0</v>
      </c>
      <c r="D28" s="3" t="n">
        <v>425.21</v>
      </c>
      <c r="E28" s="3" t="n">
        <v>439.39</v>
      </c>
      <c r="F28" s="3" t="n">
        <v>335.69</v>
      </c>
    </row>
    <row r="29" customFormat="false" ht="15" hidden="false" customHeight="false" outlineLevel="0" collapsed="false">
      <c r="A29" s="3" t="s">
        <v>54</v>
      </c>
      <c r="B29" s="3" t="n">
        <v>1198.58</v>
      </c>
      <c r="C29" s="3" t="n">
        <v>893.38</v>
      </c>
      <c r="D29" s="3" t="n">
        <v>1162.84</v>
      </c>
      <c r="E29" s="3" t="n">
        <v>1242.83</v>
      </c>
      <c r="F29" s="3" t="n">
        <v>1230.81</v>
      </c>
    </row>
    <row r="30" customFormat="false" ht="15" hidden="false" customHeight="false" outlineLevel="0" collapsed="false">
      <c r="A30" s="3" t="s">
        <v>55</v>
      </c>
      <c r="B30" s="3" t="n">
        <v>588.5</v>
      </c>
      <c r="C30" s="3" t="n">
        <v>626.2</v>
      </c>
      <c r="D30" s="3" t="n">
        <v>903.61</v>
      </c>
      <c r="E30" s="3" t="n">
        <v>1310.65</v>
      </c>
      <c r="F30" s="3" t="n">
        <v>1488.38</v>
      </c>
    </row>
    <row r="31" customFormat="false" ht="15" hidden="false" customHeight="false" outlineLevel="0" collapsed="false">
      <c r="A31" s="3" t="s">
        <v>56</v>
      </c>
      <c r="B31" s="3" t="n">
        <v>26.61</v>
      </c>
      <c r="C31" s="3" t="n">
        <v>143.68</v>
      </c>
      <c r="D31" s="3" t="n">
        <v>49.26</v>
      </c>
      <c r="E31" s="3" t="n">
        <v>6.5</v>
      </c>
      <c r="F31" s="3" t="n">
        <v>12.77</v>
      </c>
    </row>
    <row r="32" customFormat="false" ht="15" hidden="false" customHeight="false" outlineLevel="0" collapsed="false">
      <c r="A32" s="3" t="s">
        <v>57</v>
      </c>
      <c r="B32" s="3" t="n">
        <v>116.94</v>
      </c>
      <c r="C32" s="3" t="n">
        <v>226.4</v>
      </c>
      <c r="D32" s="3" t="n">
        <v>139.33</v>
      </c>
      <c r="E32" s="3" t="n">
        <v>124.22</v>
      </c>
      <c r="F32" s="3" t="n">
        <v>34.45</v>
      </c>
    </row>
    <row r="33" customFormat="false" ht="15" hidden="false" customHeight="false" outlineLevel="0" collapsed="false">
      <c r="A33" s="3" t="s">
        <v>58</v>
      </c>
      <c r="B33" s="3" t="n">
        <v>86.73</v>
      </c>
      <c r="C33" s="3" t="n">
        <v>70.6</v>
      </c>
      <c r="D33" s="3" t="n">
        <v>61.79</v>
      </c>
      <c r="E33" s="3" t="n">
        <v>49</v>
      </c>
      <c r="F33" s="3" t="n">
        <v>54.52</v>
      </c>
    </row>
    <row r="34" customFormat="false" ht="15" hidden="false" customHeight="false" outlineLevel="0" collapsed="false">
      <c r="A34" s="3" t="s">
        <v>59</v>
      </c>
      <c r="B34" s="3" t="n">
        <v>2017.36</v>
      </c>
      <c r="C34" s="3" t="n">
        <v>1960.26</v>
      </c>
      <c r="D34" s="3" t="n">
        <v>2316.83</v>
      </c>
      <c r="E34" s="3" t="n">
        <v>2733.2</v>
      </c>
      <c r="F34" s="3" t="n">
        <v>2820.93</v>
      </c>
    </row>
    <row r="35" customFormat="false" ht="15" hidden="false" customHeight="false" outlineLevel="0" collapsed="false">
      <c r="A35" s="3" t="s">
        <v>60</v>
      </c>
    </row>
    <row r="36" customFormat="false" ht="15" hidden="false" customHeight="false" outlineLevel="0" collapsed="false">
      <c r="A36" s="3" t="s">
        <v>61</v>
      </c>
      <c r="B36" s="3" t="n">
        <v>238.01</v>
      </c>
      <c r="C36" s="3" t="n">
        <v>132.91</v>
      </c>
      <c r="D36" s="3" t="n">
        <v>815.82</v>
      </c>
      <c r="E36" s="3" t="n">
        <v>323.4</v>
      </c>
      <c r="F36" s="3" t="n">
        <v>165.98</v>
      </c>
    </row>
    <row r="37" customFormat="false" ht="15" hidden="false" customHeight="false" outlineLevel="0" collapsed="false">
      <c r="A37" s="3" t="s">
        <v>62</v>
      </c>
      <c r="B37" s="3" t="n">
        <v>95.12</v>
      </c>
      <c r="C37" s="3" t="n">
        <v>88.02</v>
      </c>
      <c r="D37" s="3" t="n">
        <v>119.2</v>
      </c>
      <c r="E37" s="3" t="n">
        <v>77.16</v>
      </c>
      <c r="F37" s="3" t="n">
        <v>107.91</v>
      </c>
    </row>
    <row r="38" customFormat="false" ht="15" hidden="false" customHeight="false" outlineLevel="0" collapsed="false">
      <c r="A38" s="3" t="s">
        <v>63</v>
      </c>
      <c r="B38" s="3" t="n">
        <v>259.72</v>
      </c>
      <c r="C38" s="3" t="n">
        <v>132.62</v>
      </c>
      <c r="D38" s="3" t="n">
        <v>252.43</v>
      </c>
      <c r="E38" s="3" t="n">
        <v>216.84</v>
      </c>
      <c r="F38" s="3" t="n">
        <v>177.05</v>
      </c>
    </row>
    <row r="39" customFormat="false" ht="15" hidden="false" customHeight="false" outlineLevel="0" collapsed="false">
      <c r="A39" s="3" t="s">
        <v>64</v>
      </c>
      <c r="B39" s="3" t="n">
        <v>47.36</v>
      </c>
      <c r="C39" s="3" t="n">
        <v>46.25</v>
      </c>
      <c r="D39" s="3" t="n">
        <v>120.25</v>
      </c>
      <c r="E39" s="3" t="n">
        <v>80.5</v>
      </c>
      <c r="F39" s="3" t="n">
        <v>65.91</v>
      </c>
    </row>
    <row r="40" customFormat="false" ht="15" hidden="false" customHeight="false" outlineLevel="0" collapsed="false">
      <c r="A40" s="3" t="s">
        <v>65</v>
      </c>
      <c r="B40" s="3" t="n">
        <v>0</v>
      </c>
      <c r="C40" s="3" t="n">
        <v>0</v>
      </c>
      <c r="D40" s="3" t="n">
        <v>15.99</v>
      </c>
      <c r="E40" s="3" t="n">
        <v>15.99</v>
      </c>
      <c r="F40" s="3" t="n">
        <v>16.97</v>
      </c>
    </row>
    <row r="41" customFormat="false" ht="15" hidden="false" customHeight="false" outlineLevel="0" collapsed="false">
      <c r="A41" s="3" t="s">
        <v>66</v>
      </c>
      <c r="B41" s="3" t="n">
        <v>68.25</v>
      </c>
      <c r="C41" s="3" t="n">
        <v>87.25</v>
      </c>
      <c r="D41" s="3" t="n">
        <v>71.31</v>
      </c>
      <c r="E41" s="3" t="n">
        <v>83.71</v>
      </c>
      <c r="F41" s="3" t="n">
        <v>62.9</v>
      </c>
    </row>
    <row r="42" customFormat="false" ht="15" hidden="false" customHeight="false" outlineLevel="0" collapsed="false">
      <c r="A42" s="3" t="s">
        <v>67</v>
      </c>
      <c r="B42" s="3" t="n">
        <v>708.46</v>
      </c>
      <c r="C42" s="3" t="n">
        <v>487.05</v>
      </c>
      <c r="D42" s="3" t="n">
        <v>1395</v>
      </c>
      <c r="E42" s="3" t="n">
        <v>797.6</v>
      </c>
      <c r="F42" s="3" t="n">
        <v>596.72</v>
      </c>
    </row>
    <row r="43" customFormat="false" ht="15" hidden="false" customHeight="false" outlineLevel="0" collapsed="false">
      <c r="A43" s="3" t="s">
        <v>68</v>
      </c>
      <c r="B43" s="3" t="n">
        <v>2725.82</v>
      </c>
      <c r="C43" s="3" t="n">
        <v>2447.31</v>
      </c>
      <c r="D43" s="3" t="n">
        <v>3711.83</v>
      </c>
      <c r="E43" s="3" t="n">
        <v>3530.8</v>
      </c>
      <c r="F43" s="3" t="n">
        <v>3417.65</v>
      </c>
    </row>
    <row r="44" customFormat="false" ht="15" hidden="false" customHeight="false" outlineLevel="0" collapsed="false">
      <c r="A44" s="3" t="s">
        <v>69</v>
      </c>
    </row>
    <row r="45" customFormat="false" ht="15" hidden="false" customHeight="false" outlineLevel="0" collapsed="false">
      <c r="A45" s="3" t="s">
        <v>70</v>
      </c>
    </row>
    <row r="46" customFormat="false" ht="15" hidden="false" customHeight="false" outlineLevel="0" collapsed="false">
      <c r="A46" s="3" t="s">
        <v>71</v>
      </c>
      <c r="B46" s="3" t="n">
        <v>80</v>
      </c>
      <c r="C46" s="3" t="n">
        <v>0</v>
      </c>
      <c r="D46" s="3" t="n">
        <v>26.01</v>
      </c>
      <c r="E46" s="3" t="n">
        <v>49.12</v>
      </c>
      <c r="F46" s="3" t="n">
        <v>40.58</v>
      </c>
    </row>
    <row r="47" customFormat="false" ht="15" hidden="false" customHeight="false" outlineLevel="0" collapsed="false">
      <c r="A47" s="3" t="s">
        <v>72</v>
      </c>
    </row>
    <row r="48" customFormat="false" ht="15" hidden="false" customHeight="false" outlineLevel="0" collapsed="false">
      <c r="A48" s="3" t="s">
        <v>73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 customFormat="false" ht="15" hidden="false" customHeight="false" outlineLevel="0" collapsed="false">
      <c r="A49" s="3" t="s">
        <v>74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 customFormat="false" ht="15" hidden="false" customHeight="false" outlineLevel="0" collapsed="false">
      <c r="A50" s="3" t="s">
        <v>75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 customFormat="false" ht="15" hidden="false" customHeight="false" outlineLevel="0" collapsed="false">
      <c r="A51" s="3" t="s">
        <v>76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 customFormat="false" ht="15" hidden="false" customHeight="false" outlineLevel="0" collapsed="false">
      <c r="A52" s="3" t="s">
        <v>77</v>
      </c>
    </row>
    <row r="53" customFormat="false" ht="15" hidden="false" customHeight="false" outlineLevel="0" collapsed="false">
      <c r="A53" s="3" t="s">
        <v>78</v>
      </c>
      <c r="B53" s="3" t="n">
        <v>194.92</v>
      </c>
      <c r="C53" s="3" t="n">
        <v>0</v>
      </c>
      <c r="D53" s="3" t="n">
        <v>287.02</v>
      </c>
      <c r="E53" s="3" t="n">
        <v>0</v>
      </c>
      <c r="F53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4" t="s">
        <v>79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customFormat="false" ht="15" hidden="false" customHeight="false" outlineLevel="0" collapsed="false">
      <c r="A2" s="3" t="s">
        <v>80</v>
      </c>
    </row>
    <row r="3" customFormat="false" ht="15" hidden="false" customHeight="false" outlineLevel="0" collapsed="false">
      <c r="A3" s="3" t="s">
        <v>81</v>
      </c>
    </row>
    <row r="4" customFormat="false" ht="15" hidden="false" customHeight="false" outlineLevel="0" collapsed="false">
      <c r="A4" s="3" t="s">
        <v>82</v>
      </c>
      <c r="B4" s="3" t="n">
        <v>1138.8</v>
      </c>
      <c r="C4" s="3" t="n">
        <v>528.1</v>
      </c>
      <c r="D4" s="3" t="n">
        <v>1290.65</v>
      </c>
      <c r="E4" s="3" t="n">
        <v>1373.26</v>
      </c>
      <c r="F4" s="3" t="n">
        <v>1418.89</v>
      </c>
    </row>
    <row r="5" customFormat="false" ht="15" hidden="false" customHeight="false" outlineLevel="0" collapsed="false">
      <c r="A5" s="3" t="s">
        <v>83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 customFormat="false" ht="15" hidden="false" customHeight="false" outlineLevel="0" collapsed="false">
      <c r="A6" s="3" t="s">
        <v>84</v>
      </c>
      <c r="B6" s="3" t="n">
        <v>1138.8</v>
      </c>
      <c r="C6" s="3" t="n">
        <v>528.1</v>
      </c>
      <c r="D6" s="3" t="n">
        <v>1290.65</v>
      </c>
      <c r="E6" s="3" t="n">
        <v>1373.26</v>
      </c>
      <c r="F6" s="3" t="n">
        <v>1418.89</v>
      </c>
    </row>
    <row r="7" customFormat="false" ht="15" hidden="false" customHeight="false" outlineLevel="0" collapsed="false">
      <c r="A7" s="3" t="s">
        <v>85</v>
      </c>
      <c r="B7" s="3" t="n">
        <v>1243.33</v>
      </c>
      <c r="C7" s="3" t="n">
        <v>528.1</v>
      </c>
      <c r="D7" s="3" t="n">
        <v>1301.73</v>
      </c>
      <c r="E7" s="3" t="n">
        <v>1385.46</v>
      </c>
      <c r="F7" s="3" t="n">
        <v>1432.04</v>
      </c>
    </row>
    <row r="8" customFormat="false" ht="15" hidden="false" customHeight="false" outlineLevel="0" collapsed="false">
      <c r="A8" s="3" t="s">
        <v>86</v>
      </c>
      <c r="B8" s="3" t="n">
        <v>126.61</v>
      </c>
      <c r="C8" s="3" t="n">
        <v>100.58</v>
      </c>
      <c r="D8" s="3" t="n">
        <v>145.1</v>
      </c>
      <c r="E8" s="3" t="n">
        <v>210.13</v>
      </c>
      <c r="F8" s="3" t="n">
        <v>156.89</v>
      </c>
    </row>
    <row r="9" customFormat="false" ht="15" hidden="false" customHeight="false" outlineLevel="0" collapsed="false">
      <c r="A9" s="3" t="s">
        <v>87</v>
      </c>
      <c r="B9" s="3" t="n">
        <v>1369.94</v>
      </c>
      <c r="C9" s="3" t="n">
        <v>628.68</v>
      </c>
      <c r="D9" s="3" t="n">
        <v>1446.83</v>
      </c>
      <c r="E9" s="3" t="n">
        <v>1595.59</v>
      </c>
      <c r="F9" s="3" t="n">
        <v>1588.93</v>
      </c>
    </row>
    <row r="10" customFormat="false" ht="15" hidden="false" customHeight="false" outlineLevel="0" collapsed="false">
      <c r="A10" s="3" t="s">
        <v>88</v>
      </c>
    </row>
    <row r="11" customFormat="false" ht="15" hidden="false" customHeight="false" outlineLevel="0" collapsed="false">
      <c r="A11" s="3" t="s">
        <v>89</v>
      </c>
      <c r="B11" s="3" t="n">
        <v>286.38</v>
      </c>
      <c r="C11" s="3" t="n">
        <v>83.24</v>
      </c>
      <c r="D11" s="3" t="n">
        <v>376.47</v>
      </c>
      <c r="E11" s="3" t="n">
        <v>298.44</v>
      </c>
      <c r="F11" s="3" t="n">
        <v>351.51</v>
      </c>
    </row>
    <row r="12" customFormat="false" ht="15" hidden="false" customHeight="false" outlineLevel="0" collapsed="false">
      <c r="A12" s="3" t="s">
        <v>90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 customFormat="false" ht="15" hidden="false" customHeight="false" outlineLevel="0" collapsed="false">
      <c r="A13" s="3" t="s">
        <v>91</v>
      </c>
      <c r="B13" s="3" t="n">
        <v>-1.75</v>
      </c>
      <c r="C13" s="3" t="n">
        <v>1.52</v>
      </c>
      <c r="D13" s="3" t="n">
        <v>-0.24</v>
      </c>
      <c r="E13" s="3" t="n">
        <v>0.01</v>
      </c>
      <c r="F13" s="3" t="n">
        <v>0.05</v>
      </c>
    </row>
    <row r="14" customFormat="false" ht="15" hidden="false" customHeight="false" outlineLevel="0" collapsed="false">
      <c r="A14" s="3" t="s">
        <v>92</v>
      </c>
      <c r="B14" s="3" t="n">
        <v>272.2</v>
      </c>
      <c r="C14" s="3" t="n">
        <v>179.81</v>
      </c>
      <c r="D14" s="3" t="n">
        <v>250.99</v>
      </c>
      <c r="E14" s="3" t="n">
        <v>252.44</v>
      </c>
      <c r="F14" s="3" t="n">
        <v>327.95</v>
      </c>
    </row>
    <row r="15" customFormat="false" ht="15" hidden="false" customHeight="false" outlineLevel="0" collapsed="false">
      <c r="A15" s="3" t="s">
        <v>93</v>
      </c>
      <c r="B15" s="3" t="n">
        <v>103.45</v>
      </c>
      <c r="C15" s="3" t="n">
        <v>45.87</v>
      </c>
      <c r="D15" s="3" t="n">
        <v>98.44</v>
      </c>
      <c r="E15" s="3" t="n">
        <v>69.6</v>
      </c>
      <c r="F15" s="3" t="n">
        <v>78.68</v>
      </c>
    </row>
    <row r="16" customFormat="false" ht="15" hidden="false" customHeight="false" outlineLevel="0" collapsed="false">
      <c r="A16" s="3" t="s">
        <v>94</v>
      </c>
      <c r="B16" s="3" t="n">
        <v>113.45</v>
      </c>
      <c r="C16" s="3" t="n">
        <v>90.9</v>
      </c>
      <c r="D16" s="3" t="n">
        <v>82.69</v>
      </c>
      <c r="E16" s="3" t="n">
        <v>96.42</v>
      </c>
      <c r="F16" s="3" t="n">
        <v>97.47</v>
      </c>
    </row>
    <row r="17" customFormat="false" ht="15" hidden="false" customHeight="false" outlineLevel="0" collapsed="false">
      <c r="A17" s="3" t="s">
        <v>95</v>
      </c>
      <c r="B17" s="3" t="n">
        <v>581.31</v>
      </c>
      <c r="C17" s="3" t="n">
        <v>369.99</v>
      </c>
      <c r="D17" s="3" t="n">
        <v>698.38</v>
      </c>
      <c r="E17" s="3" t="n">
        <v>617.75</v>
      </c>
      <c r="F17" s="3" t="n">
        <v>669.08</v>
      </c>
    </row>
    <row r="18" customFormat="false" ht="15" hidden="false" customHeight="false" outlineLevel="0" collapsed="false">
      <c r="A18" s="3" t="s">
        <v>96</v>
      </c>
      <c r="B18" s="3" t="n">
        <v>1355.04</v>
      </c>
      <c r="C18" s="3" t="n">
        <v>771.33</v>
      </c>
      <c r="D18" s="3" t="n">
        <v>1506.73</v>
      </c>
      <c r="E18" s="3" t="n">
        <v>1334.66</v>
      </c>
      <c r="F18" s="3" t="n">
        <v>1524.74</v>
      </c>
    </row>
    <row r="19" customFormat="false" ht="15" hidden="false" customHeight="false" outlineLevel="0" collapsed="false">
      <c r="A19" s="3" t="s">
        <v>97</v>
      </c>
      <c r="B19" s="3" t="n">
        <v>14.9</v>
      </c>
      <c r="C19" s="3" t="n">
        <v>-142.65</v>
      </c>
      <c r="D19" s="3" t="n">
        <v>-59.9</v>
      </c>
      <c r="E19" s="3" t="n">
        <v>260.93</v>
      </c>
      <c r="F19" s="3" t="n">
        <v>64.19</v>
      </c>
    </row>
    <row r="20" customFormat="false" ht="15" hidden="false" customHeight="false" outlineLevel="0" collapsed="false">
      <c r="A20" s="3" t="s">
        <v>98</v>
      </c>
      <c r="B20" s="3" t="n">
        <v>-270.78</v>
      </c>
      <c r="C20" s="3" t="n">
        <v>7.21</v>
      </c>
      <c r="D20" s="3" t="n">
        <v>-112.11</v>
      </c>
      <c r="E20" s="3" t="n">
        <v>-14.05</v>
      </c>
      <c r="F20" s="3" t="n">
        <v>0</v>
      </c>
    </row>
    <row r="21" customFormat="false" ht="15" hidden="false" customHeight="false" outlineLevel="0" collapsed="false">
      <c r="A21" s="3" t="s">
        <v>99</v>
      </c>
      <c r="B21" s="3" t="n">
        <v>-255.88</v>
      </c>
      <c r="C21" s="3" t="n">
        <v>-135.44</v>
      </c>
      <c r="D21" s="3" t="n">
        <v>-172.01</v>
      </c>
      <c r="E21" s="3" t="n">
        <v>246.88</v>
      </c>
      <c r="F21" s="3" t="n">
        <v>64.19</v>
      </c>
    </row>
    <row r="22" customFormat="false" ht="15" hidden="false" customHeight="false" outlineLevel="0" collapsed="false">
      <c r="A22" s="3" t="s">
        <v>100</v>
      </c>
    </row>
    <row r="23" customFormat="false" ht="15" hidden="false" customHeight="false" outlineLevel="0" collapsed="false">
      <c r="A23" s="3" t="s">
        <v>101</v>
      </c>
      <c r="B23" s="3" t="n">
        <v>5.7</v>
      </c>
      <c r="C23" s="3" t="n">
        <v>-54.09</v>
      </c>
      <c r="D23" s="3" t="n">
        <v>4.26</v>
      </c>
      <c r="E23" s="3" t="n">
        <v>29.44</v>
      </c>
      <c r="F23" s="3" t="n">
        <v>-8.25</v>
      </c>
    </row>
    <row r="24" customFormat="false" ht="15" hidden="false" customHeight="false" outlineLevel="0" collapsed="false">
      <c r="A24" s="3" t="s">
        <v>102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 customFormat="false" ht="15" hidden="false" customHeight="false" outlineLevel="0" collapsed="false">
      <c r="A25" s="3" t="s">
        <v>103</v>
      </c>
      <c r="B25" s="3" t="n">
        <v>4.21</v>
      </c>
      <c r="C25" s="3" t="n">
        <v>0</v>
      </c>
      <c r="D25" s="3" t="n">
        <v>-37.33</v>
      </c>
      <c r="E25" s="3" t="n">
        <v>6.28</v>
      </c>
      <c r="F25" s="3" t="n">
        <v>10.93</v>
      </c>
    </row>
    <row r="26" customFormat="false" ht="15" hidden="false" customHeight="false" outlineLevel="0" collapsed="false">
      <c r="A26" s="3" t="s">
        <v>104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 customFormat="false" ht="15" hidden="false" customHeight="false" outlineLevel="0" collapsed="false">
      <c r="A27" s="3" t="s">
        <v>105</v>
      </c>
      <c r="B27" s="3" t="n">
        <v>9.91</v>
      </c>
      <c r="C27" s="3" t="n">
        <v>-54.09</v>
      </c>
      <c r="D27" s="3" t="n">
        <v>-33.07</v>
      </c>
      <c r="E27" s="3" t="n">
        <v>35.72</v>
      </c>
      <c r="F27" s="3" t="n">
        <v>2.68</v>
      </c>
    </row>
    <row r="28" customFormat="false" ht="15" hidden="false" customHeight="false" outlineLevel="0" collapsed="false">
      <c r="A28" s="3" t="s">
        <v>106</v>
      </c>
      <c r="B28" s="3" t="n">
        <v>-265.79</v>
      </c>
      <c r="C28" s="3" t="n">
        <v>-81.35</v>
      </c>
      <c r="D28" s="3" t="n">
        <v>-138.94</v>
      </c>
      <c r="E28" s="3" t="n">
        <v>211.16</v>
      </c>
      <c r="F28" s="3" t="n">
        <v>61.51</v>
      </c>
    </row>
    <row r="29" customFormat="false" ht="15" hidden="false" customHeight="false" outlineLevel="0" collapsed="false">
      <c r="A29" s="3" t="s">
        <v>107</v>
      </c>
      <c r="B29" s="3" t="n">
        <v>-265.79</v>
      </c>
      <c r="C29" s="3" t="n">
        <v>-81.35</v>
      </c>
      <c r="D29" s="3" t="n">
        <v>-138.94</v>
      </c>
      <c r="E29" s="3" t="n">
        <v>211.16</v>
      </c>
      <c r="F29" s="3" t="n">
        <v>61.51</v>
      </c>
    </row>
    <row r="30" customFormat="false" ht="15" hidden="false" customHeight="false" outlineLevel="0" collapsed="false">
      <c r="A30" s="3" t="s">
        <v>108</v>
      </c>
      <c r="B30" s="3" t="n">
        <v>-265.79</v>
      </c>
      <c r="C30" s="3" t="n">
        <v>-81.35</v>
      </c>
      <c r="D30" s="3" t="n">
        <v>-138.94</v>
      </c>
      <c r="E30" s="3" t="n">
        <v>213.74</v>
      </c>
      <c r="F30" s="3" t="n">
        <v>61.51</v>
      </c>
    </row>
    <row r="31" customFormat="false" ht="15" hidden="false" customHeight="false" outlineLevel="0" collapsed="false">
      <c r="A31" s="3" t="s">
        <v>69</v>
      </c>
    </row>
    <row r="32" customFormat="false" ht="15" hidden="false" customHeight="false" outlineLevel="0" collapsed="false">
      <c r="A32" s="3" t="s">
        <v>109</v>
      </c>
    </row>
    <row r="33" customFormat="false" ht="15" hidden="false" customHeight="false" outlineLevel="0" collapsed="false">
      <c r="A33" s="3" t="s">
        <v>110</v>
      </c>
      <c r="B33" s="3" t="n">
        <v>-11.53</v>
      </c>
      <c r="C33" s="3" t="n">
        <v>-3.53</v>
      </c>
      <c r="D33" s="3" t="n">
        <v>-5.97</v>
      </c>
      <c r="E33" s="3" t="n">
        <v>9.18</v>
      </c>
      <c r="F33" s="3" t="n">
        <v>2.64</v>
      </c>
    </row>
    <row r="34" customFormat="false" ht="15" hidden="false" customHeight="false" outlineLevel="0" collapsed="false">
      <c r="A34" s="3" t="s">
        <v>111</v>
      </c>
      <c r="B34" s="3" t="n">
        <v>-11.53</v>
      </c>
      <c r="C34" s="3" t="n">
        <v>-3.53</v>
      </c>
      <c r="D34" s="3" t="n">
        <v>-5.97</v>
      </c>
      <c r="E34" s="3" t="n">
        <v>9.18</v>
      </c>
      <c r="F34" s="3" t="n">
        <v>2.64</v>
      </c>
    </row>
    <row r="35" customFormat="false" ht="15" hidden="false" customHeight="false" outlineLevel="0" collapsed="false">
      <c r="A35" s="3" t="s">
        <v>112</v>
      </c>
    </row>
    <row r="36" customFormat="false" ht="15" hidden="false" customHeight="false" outlineLevel="0" collapsed="false">
      <c r="A36" s="3" t="s">
        <v>113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 customFormat="false" ht="15" hidden="false" customHeight="false" outlineLevel="0" collapsed="false">
      <c r="A37" s="3" t="s">
        <v>114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 customFormat="false" ht="15" hidden="false" customHeight="false" outlineLevel="0" collapsed="false">
      <c r="A38" s="3" t="s">
        <v>115</v>
      </c>
    </row>
    <row r="39" customFormat="false" ht="15" hidden="false" customHeight="false" outlineLevel="0" collapsed="false">
      <c r="A39" s="3" t="s">
        <v>116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 customFormat="false" ht="15" hidden="false" customHeight="false" outlineLevel="0" collapsed="false">
      <c r="A40" s="3" t="s">
        <v>117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 customFormat="false" ht="15" hidden="false" customHeight="false" outlineLevel="0" collapsed="false">
      <c r="A41" s="3" t="s">
        <v>118</v>
      </c>
    </row>
    <row r="42" customFormat="false" ht="15" hidden="false" customHeight="false" outlineLevel="0" collapsed="false">
      <c r="A42" s="3" t="s">
        <v>119</v>
      </c>
      <c r="B42" s="3" t="n">
        <v>9.31</v>
      </c>
      <c r="C42" s="3" t="n">
        <v>0</v>
      </c>
      <c r="D42" s="3" t="n">
        <v>9.31</v>
      </c>
      <c r="E42" s="3" t="n">
        <v>9.31</v>
      </c>
      <c r="F42" s="3" t="n">
        <v>9.31</v>
      </c>
    </row>
    <row r="43" customFormat="false" ht="15" hidden="false" customHeight="false" outlineLevel="0" collapsed="false">
      <c r="A43" s="3" t="s">
        <v>120</v>
      </c>
      <c r="B43" s="3" t="n">
        <v>0.57</v>
      </c>
      <c r="C43" s="3" t="n">
        <v>0</v>
      </c>
      <c r="D43" s="3" t="n">
        <v>0.57</v>
      </c>
      <c r="E43" s="3" t="n">
        <v>0.56</v>
      </c>
      <c r="F43" s="3" t="n">
        <v>0.56</v>
      </c>
    </row>
    <row r="44" customFormat="false" ht="15" hidden="false" customHeight="false" outlineLevel="0" collapsed="false">
      <c r="A44" s="3" t="s">
        <v>121</v>
      </c>
      <c r="B44" s="3" t="n">
        <v>0</v>
      </c>
      <c r="C44" s="3" t="n">
        <v>0</v>
      </c>
      <c r="D44" s="3" t="n">
        <v>20</v>
      </c>
      <c r="E44" s="3" t="n">
        <v>20</v>
      </c>
      <c r="F44" s="3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6" min="3" style="0" width="13"/>
  </cols>
  <sheetData>
    <row r="2" customFormat="false" ht="19.7" hidden="false" customHeight="false" outlineLevel="0" collapsed="false">
      <c r="B2" s="1" t="s">
        <v>122</v>
      </c>
    </row>
    <row r="4" customFormat="false" ht="39.75" hidden="false" customHeight="true" outlineLevel="0" collapsed="false">
      <c r="B4" s="5" t="s">
        <v>123</v>
      </c>
      <c r="C4" s="5"/>
      <c r="D4" s="5"/>
      <c r="E4" s="5"/>
      <c r="F4" s="5"/>
    </row>
    <row r="6" customFormat="false" ht="15" hidden="false" customHeight="false" outlineLevel="0" collapsed="false">
      <c r="B6" s="4" t="s">
        <v>124</v>
      </c>
      <c r="C6" s="4" t="s">
        <v>23</v>
      </c>
      <c r="D6" s="4" t="s">
        <v>24</v>
      </c>
      <c r="E6" s="4" t="s">
        <v>25</v>
      </c>
      <c r="F6" s="4" t="s">
        <v>26</v>
      </c>
    </row>
    <row r="7" customFormat="false" ht="15" hidden="false" customHeight="false" outlineLevel="0" collapsed="false">
      <c r="B7" s="6" t="s">
        <v>125</v>
      </c>
    </row>
    <row r="8" customFormat="false" ht="15" hidden="false" customHeight="false" outlineLevel="0" collapsed="false">
      <c r="B8" s="7" t="s">
        <v>126</v>
      </c>
      <c r="C8" s="8" t="n">
        <f aca="false">'Raw Data (P&amp;L)'!$C$21</f>
        <v>-135.44</v>
      </c>
      <c r="D8" s="8" t="n">
        <f aca="false">'Raw Data (P&amp;L)'!$D$21</f>
        <v>-172.01</v>
      </c>
      <c r="E8" s="8" t="n">
        <f aca="false">'Raw Data (P&amp;L)'!$E$21</f>
        <v>246.88</v>
      </c>
      <c r="F8" s="8" t="n">
        <f aca="false">'Raw Data (P&amp;L)'!$F$21</f>
        <v>64.19</v>
      </c>
    </row>
    <row r="9" customFormat="false" ht="15" hidden="false" customHeight="false" outlineLevel="0" collapsed="false">
      <c r="B9" s="7" t="s">
        <v>127</v>
      </c>
      <c r="C9" s="8" t="n">
        <f aca="false">'Raw Data (P&amp;L)'!$C$16</f>
        <v>90.9</v>
      </c>
      <c r="D9" s="8" t="n">
        <f aca="false">'Raw Data (P&amp;L)'!$D$16</f>
        <v>82.69</v>
      </c>
      <c r="E9" s="8" t="n">
        <f aca="false">'Raw Data (P&amp;L)'!$E$16</f>
        <v>96.42</v>
      </c>
      <c r="F9" s="8" t="n">
        <f aca="false">'Raw Data (P&amp;L)'!$F$16</f>
        <v>97.47</v>
      </c>
    </row>
    <row r="10" customFormat="false" ht="15" hidden="false" customHeight="false" outlineLevel="0" collapsed="false">
      <c r="B10" s="7" t="s">
        <v>128</v>
      </c>
      <c r="C10" s="8" t="n">
        <f aca="false">'Raw Data (P&amp;L)'!$C$15</f>
        <v>45.87</v>
      </c>
      <c r="D10" s="8" t="n">
        <f aca="false">'Raw Data (P&amp;L)'!$D$15</f>
        <v>98.44</v>
      </c>
      <c r="E10" s="8" t="n">
        <f aca="false">'Raw Data (P&amp;L)'!$E$15</f>
        <v>69.6</v>
      </c>
      <c r="F10" s="8" t="n">
        <f aca="false">'Raw Data (P&amp;L)'!$F$15</f>
        <v>78.68</v>
      </c>
    </row>
    <row r="11" customFormat="false" ht="15" hidden="false" customHeight="false" outlineLevel="0" collapsed="false">
      <c r="B11" s="7" t="s">
        <v>129</v>
      </c>
      <c r="C11" s="8" t="n">
        <f aca="false">-'Raw Data (P&amp;L)'!$C$8</f>
        <v>-100.58</v>
      </c>
      <c r="D11" s="8" t="n">
        <f aca="false">-'Raw Data (P&amp;L)'!$D$8</f>
        <v>-145.1</v>
      </c>
      <c r="E11" s="8" t="n">
        <f aca="false">-'Raw Data (P&amp;L)'!$E$8</f>
        <v>-210.13</v>
      </c>
      <c r="F11" s="8" t="n">
        <f aca="false">-'Raw Data (P&amp;L)'!$F$8</f>
        <v>-156.89</v>
      </c>
    </row>
    <row r="12" customFormat="false" ht="15" hidden="false" customHeight="false" outlineLevel="0" collapsed="false">
      <c r="B12" s="9" t="s">
        <v>130</v>
      </c>
      <c r="C12" s="10" t="n">
        <f aca="false">SUM(C8:C11)</f>
        <v>-99.25</v>
      </c>
      <c r="D12" s="10" t="n">
        <f aca="false">SUM(D8:D11)</f>
        <v>-135.98</v>
      </c>
      <c r="E12" s="10" t="n">
        <f aca="false">SUM(E8:E11)</f>
        <v>202.77</v>
      </c>
      <c r="F12" s="10" t="n">
        <f aca="false">SUM(F8:F11)</f>
        <v>83.45</v>
      </c>
    </row>
    <row r="13" customFormat="false" ht="15" hidden="false" customHeight="false" outlineLevel="0" collapsed="false">
      <c r="B13" s="7" t="s">
        <v>131</v>
      </c>
      <c r="C13" s="8" t="n">
        <f aca="false">-('Raw Data (BS)'!$C$37-'Raw Data (BS)'!$B$37)</f>
        <v>7.10000000000001</v>
      </c>
      <c r="D13" s="8" t="n">
        <f aca="false">-('Raw Data (BS)'!$D$37-'Raw Data (BS)'!$C$37)</f>
        <v>-31.18</v>
      </c>
      <c r="E13" s="8" t="n">
        <f aca="false">-('Raw Data (BS)'!$E$37-'Raw Data (BS)'!$D$37)</f>
        <v>42.04</v>
      </c>
      <c r="F13" s="8" t="n">
        <f aca="false">-('Raw Data (BS)'!$F$37-'Raw Data (BS)'!$E$37)</f>
        <v>-30.75</v>
      </c>
    </row>
    <row r="14" customFormat="false" ht="15" hidden="false" customHeight="false" outlineLevel="0" collapsed="false">
      <c r="B14" s="7" t="s">
        <v>132</v>
      </c>
      <c r="C14" s="8" t="n">
        <f aca="false">-('Raw Data (BS)'!$C$38-'Raw Data (BS)'!$B$38)</f>
        <v>127.1</v>
      </c>
      <c r="D14" s="8" t="n">
        <f aca="false">-('Raw Data (BS)'!$D$38-'Raw Data (BS)'!$C$38)</f>
        <v>-119.81</v>
      </c>
      <c r="E14" s="8" t="n">
        <f aca="false">-('Raw Data (BS)'!$E$38-'Raw Data (BS)'!$D$38)</f>
        <v>35.59</v>
      </c>
      <c r="F14" s="8" t="n">
        <f aca="false">-('Raw Data (BS)'!$F$38-'Raw Data (BS)'!$E$38)</f>
        <v>39.79</v>
      </c>
    </row>
    <row r="15" customFormat="false" ht="15" hidden="false" customHeight="false" outlineLevel="0" collapsed="false">
      <c r="B15" s="7" t="s">
        <v>133</v>
      </c>
      <c r="C15" s="8" t="n">
        <f aca="false">-(('Raw Data (BS)'!$C$41+'Raw Data (BS)'!$C$40)-('Raw Data (BS)'!$B$41+'Raw Data (BS)'!$B$40))</f>
        <v>-19</v>
      </c>
      <c r="D15" s="8" t="n">
        <f aca="false">-(('Raw Data (BS)'!$D$41+'Raw Data (BS)'!$D$40)-('Raw Data (BS)'!$C$41+'Raw Data (BS)'!$C$40))</f>
        <v>-0.0499999999999972</v>
      </c>
      <c r="E15" s="8" t="n">
        <f aca="false">-(('Raw Data (BS)'!$E$41+'Raw Data (BS)'!$E$40)-('Raw Data (BS)'!$D$41+'Raw Data (BS)'!$D$40))</f>
        <v>-12.4</v>
      </c>
      <c r="F15" s="8" t="n">
        <f aca="false">-(('Raw Data (BS)'!$F$41+'Raw Data (BS)'!$F$40)-('Raw Data (BS)'!$E$41+'Raw Data (BS)'!$E$40))</f>
        <v>19.83</v>
      </c>
    </row>
    <row r="16" customFormat="false" ht="15" hidden="false" customHeight="false" outlineLevel="0" collapsed="false">
      <c r="B16" s="7" t="s">
        <v>134</v>
      </c>
      <c r="C16" s="8" t="n">
        <f aca="false">'Raw Data (BS)'!$C$18-'Raw Data (BS)'!$B$18</f>
        <v>-30.73</v>
      </c>
      <c r="D16" s="8" t="n">
        <f aca="false">'Raw Data (BS)'!$D$18-'Raw Data (BS)'!$C$18</f>
        <v>116.72</v>
      </c>
      <c r="E16" s="8" t="n">
        <f aca="false">'Raw Data (BS)'!$E$18-'Raw Data (BS)'!$D$18</f>
        <v>-38.88</v>
      </c>
      <c r="F16" s="8" t="n">
        <f aca="false">'Raw Data (BS)'!$F$18-'Raw Data (BS)'!$E$18</f>
        <v>53.84</v>
      </c>
    </row>
    <row r="17" customFormat="false" ht="15" hidden="false" customHeight="false" outlineLevel="0" collapsed="false">
      <c r="B17" s="7" t="s">
        <v>135</v>
      </c>
      <c r="C17" s="8" t="n">
        <f aca="false">'Raw Data (BS)'!$C$19-'Raw Data (BS)'!$B$19</f>
        <v>2.3599999999999</v>
      </c>
      <c r="D17" s="8" t="n">
        <f aca="false">'Raw Data (BS)'!$D$19-'Raw Data (BS)'!$C$19</f>
        <v>-86.8299999999999</v>
      </c>
      <c r="E17" s="8" t="n">
        <f aca="false">'Raw Data (BS)'!$E$19-'Raw Data (BS)'!$D$19</f>
        <v>-26.66</v>
      </c>
      <c r="F17" s="8" t="n">
        <f aca="false">'Raw Data (BS)'!$F$19-'Raw Data (BS)'!$E$19</f>
        <v>-31.02</v>
      </c>
    </row>
    <row r="18" customFormat="false" ht="15" hidden="false" customHeight="false" outlineLevel="0" collapsed="false">
      <c r="B18" s="7" t="s">
        <v>136</v>
      </c>
      <c r="C18" s="8" t="n">
        <f aca="false">('Raw Data (BS)'!$C$20-'Raw Data (BS)'!$B$20)+('Raw Data (BS)'!$C$14-'Raw Data (BS)'!$B$14)</f>
        <v>-5.15</v>
      </c>
      <c r="D18" s="8" t="n">
        <f aca="false">('Raw Data (BS)'!$D$20-'Raw Data (BS)'!$C$20)+('Raw Data (BS)'!$D$14-'Raw Data (BS)'!$C$14)</f>
        <v>4.91</v>
      </c>
      <c r="E18" s="8" t="n">
        <f aca="false">('Raw Data (BS)'!$E$20-'Raw Data (BS)'!$D$20)+('Raw Data (BS)'!$E$14-'Raw Data (BS)'!$D$14)</f>
        <v>0.22</v>
      </c>
      <c r="F18" s="8" t="n">
        <f aca="false">('Raw Data (BS)'!$F$20-'Raw Data (BS)'!$E$20)+('Raw Data (BS)'!$F$14-'Raw Data (BS)'!$E$14)</f>
        <v>16.74</v>
      </c>
    </row>
    <row r="19" customFormat="false" ht="15" hidden="false" customHeight="false" outlineLevel="0" collapsed="false">
      <c r="B19" s="7" t="s">
        <v>137</v>
      </c>
      <c r="C19" s="8" t="n">
        <f aca="false">'Raw Data (BS)'!$C$13-'Raw Data (BS)'!$B$13</f>
        <v>-26.48</v>
      </c>
      <c r="D19" s="8" t="n">
        <f aca="false">'Raw Data (BS)'!$D$13-'Raw Data (BS)'!$C$13</f>
        <v>-26.78</v>
      </c>
      <c r="E19" s="8" t="n">
        <f aca="false">'Raw Data (BS)'!$E$13-'Raw Data (BS)'!$D$13</f>
        <v>-10.53</v>
      </c>
      <c r="F19" s="8" t="n">
        <f aca="false">'Raw Data (BS)'!$F$13-'Raw Data (BS)'!$E$13</f>
        <v>-1.86</v>
      </c>
    </row>
    <row r="20" customFormat="false" ht="15" hidden="false" customHeight="false" outlineLevel="0" collapsed="false">
      <c r="B20" s="9" t="s">
        <v>138</v>
      </c>
      <c r="C20" s="10" t="n">
        <f aca="false">SUM(C12:C19)</f>
        <v>-44.0500000000001</v>
      </c>
      <c r="D20" s="10" t="n">
        <f aca="false">SUM(D12:D19)</f>
        <v>-279</v>
      </c>
      <c r="E20" s="10" t="n">
        <f aca="false">SUM(E12:E19)</f>
        <v>192.15</v>
      </c>
      <c r="F20" s="10" t="n">
        <f aca="false">SUM(F12:F19)</f>
        <v>150.02</v>
      </c>
    </row>
    <row r="21" customFormat="false" ht="15" hidden="false" customHeight="false" outlineLevel="0" collapsed="false">
      <c r="B21" s="7" t="s">
        <v>139</v>
      </c>
      <c r="C21" s="8" t="n">
        <f aca="false">-'Raw Data (P&amp;L)'!$C$27</f>
        <v>54.09</v>
      </c>
      <c r="D21" s="8" t="n">
        <f aca="false">-'Raw Data (P&amp;L)'!$D$27</f>
        <v>33.07</v>
      </c>
      <c r="E21" s="8" t="n">
        <f aca="false">-'Raw Data (P&amp;L)'!$E$27</f>
        <v>-35.72</v>
      </c>
      <c r="F21" s="8" t="n">
        <f aca="false">-'Raw Data (P&amp;L)'!$F$27</f>
        <v>-2.68</v>
      </c>
    </row>
    <row r="22" customFormat="false" ht="15" hidden="false" customHeight="false" outlineLevel="0" collapsed="false">
      <c r="B22" s="9" t="s">
        <v>140</v>
      </c>
      <c r="C22" s="10" t="n">
        <f aca="false">C20+C21</f>
        <v>10.0399999999999</v>
      </c>
      <c r="D22" s="10" t="n">
        <f aca="false">D20+D21</f>
        <v>-245.93</v>
      </c>
      <c r="E22" s="10" t="n">
        <f aca="false">E20+E21</f>
        <v>156.43</v>
      </c>
      <c r="F22" s="10" t="n">
        <f aca="false">F20+F21</f>
        <v>147.34</v>
      </c>
    </row>
    <row r="24" customFormat="false" ht="15" hidden="false" customHeight="false" outlineLevel="0" collapsed="false">
      <c r="B24" s="6" t="s">
        <v>141</v>
      </c>
    </row>
    <row r="25" customFormat="false" ht="15" hidden="false" customHeight="false" outlineLevel="0" collapsed="false">
      <c r="B25" s="7" t="s">
        <v>142</v>
      </c>
      <c r="C25" s="8" t="n">
        <f aca="false">-(('Raw Data (BS)'!$C$29-'Raw Data (BS)'!$B$29)+'Raw Data (P&amp;L)'!$C$16)</f>
        <v>214.3</v>
      </c>
      <c r="D25" s="8" t="n">
        <f aca="false">-(('Raw Data (BS)'!$D$29-'Raw Data (BS)'!$C$29)+'Raw Data (P&amp;L)'!$D$16)</f>
        <v>-352.15</v>
      </c>
      <c r="E25" s="8" t="n">
        <f aca="false">-(('Raw Data (BS)'!$E$29-'Raw Data (BS)'!$D$29)+'Raw Data (P&amp;L)'!$E$16)</f>
        <v>-176.41</v>
      </c>
      <c r="F25" s="8" t="n">
        <f aca="false">-(('Raw Data (BS)'!$F$29-'Raw Data (BS)'!$E$29)+'Raw Data (P&amp;L)'!$F$16)</f>
        <v>-85.45</v>
      </c>
    </row>
    <row r="26" customFormat="false" ht="15" hidden="false" customHeight="false" outlineLevel="0" collapsed="false">
      <c r="B26" s="7" t="s">
        <v>143</v>
      </c>
      <c r="C26" s="8" t="n">
        <f aca="false">-('Raw Data (BS)'!$C$30-'Raw Data (BS)'!$B$30)</f>
        <v>-37.7</v>
      </c>
      <c r="D26" s="8" t="n">
        <f aca="false">-('Raw Data (BS)'!$D$30-'Raw Data (BS)'!$C$30)</f>
        <v>-277.41</v>
      </c>
      <c r="E26" s="8" t="n">
        <f aca="false">-('Raw Data (BS)'!$E$30-'Raw Data (BS)'!$D$30)</f>
        <v>-407.04</v>
      </c>
      <c r="F26" s="8" t="n">
        <f aca="false">-('Raw Data (BS)'!$F$30-'Raw Data (BS)'!$E$30)</f>
        <v>-177.73</v>
      </c>
    </row>
    <row r="27" customFormat="false" ht="15" hidden="false" customHeight="false" outlineLevel="0" collapsed="false">
      <c r="B27" s="7" t="s">
        <v>144</v>
      </c>
      <c r="C27" s="8" t="n">
        <f aca="false">-('Raw Data (BS)'!$C$36-'Raw Data (BS)'!$B$36)</f>
        <v>105.1</v>
      </c>
      <c r="D27" s="8" t="n">
        <f aca="false">-('Raw Data (BS)'!$D$36-'Raw Data (BS)'!$C$36)</f>
        <v>-682.91</v>
      </c>
      <c r="E27" s="8" t="n">
        <f aca="false">-('Raw Data (BS)'!$E$36-'Raw Data (BS)'!$D$36)</f>
        <v>492.42</v>
      </c>
      <c r="F27" s="8" t="n">
        <f aca="false">-('Raw Data (BS)'!$F$36-'Raw Data (BS)'!$E$36)</f>
        <v>157.42</v>
      </c>
    </row>
    <row r="28" customFormat="false" ht="15" hidden="false" customHeight="false" outlineLevel="0" collapsed="false">
      <c r="B28" s="7" t="s">
        <v>145</v>
      </c>
      <c r="C28" s="8" t="n">
        <f aca="false">-('Raw Data (BS)'!$C$32-'Raw Data (BS)'!$B$32)</f>
        <v>-109.46</v>
      </c>
      <c r="D28" s="8" t="n">
        <f aca="false">-('Raw Data (BS)'!$D$32-'Raw Data (BS)'!$C$32)</f>
        <v>87.07</v>
      </c>
      <c r="E28" s="8" t="n">
        <f aca="false">-('Raw Data (BS)'!$E$32-'Raw Data (BS)'!$D$32)</f>
        <v>15.11</v>
      </c>
      <c r="F28" s="8" t="n">
        <f aca="false">-('Raw Data (BS)'!$F$32-'Raw Data (BS)'!$E$32)</f>
        <v>89.77</v>
      </c>
    </row>
    <row r="29" customFormat="false" ht="15" hidden="false" customHeight="false" outlineLevel="0" collapsed="false">
      <c r="B29" s="7" t="s">
        <v>146</v>
      </c>
      <c r="C29" s="8" t="n">
        <f aca="false">-('Raw Data (BS)'!$C$33-'Raw Data (BS)'!$B$33)</f>
        <v>16.13</v>
      </c>
      <c r="D29" s="8" t="n">
        <f aca="false">-('Raw Data (BS)'!$D$33-'Raw Data (BS)'!$C$33)</f>
        <v>8.81</v>
      </c>
      <c r="E29" s="8" t="n">
        <f aca="false">-('Raw Data (BS)'!$E$33-'Raw Data (BS)'!$D$33)</f>
        <v>12.79</v>
      </c>
      <c r="F29" s="8" t="n">
        <f aca="false">-('Raw Data (BS)'!$F$33-'Raw Data (BS)'!$E$33)</f>
        <v>-5.52</v>
      </c>
    </row>
    <row r="30" customFormat="false" ht="15" hidden="false" customHeight="false" outlineLevel="0" collapsed="false">
      <c r="B30" s="7" t="s">
        <v>147</v>
      </c>
      <c r="C30" s="8" t="n">
        <f aca="false">'Raw Data (P&amp;L)'!$C$8</f>
        <v>100.58</v>
      </c>
      <c r="D30" s="8" t="n">
        <f aca="false">'Raw Data (P&amp;L)'!$D$8</f>
        <v>145.1</v>
      </c>
      <c r="E30" s="8" t="n">
        <f aca="false">'Raw Data (P&amp;L)'!$E$8</f>
        <v>210.13</v>
      </c>
      <c r="F30" s="8" t="n">
        <f aca="false">'Raw Data (P&amp;L)'!$F$8</f>
        <v>156.89</v>
      </c>
    </row>
    <row r="31" customFormat="false" ht="15" hidden="false" customHeight="false" outlineLevel="0" collapsed="false">
      <c r="B31" s="9" t="s">
        <v>148</v>
      </c>
      <c r="C31" s="10" t="n">
        <f aca="false">SUM(C25:C30)</f>
        <v>288.95</v>
      </c>
      <c r="D31" s="10" t="n">
        <f aca="false">SUM(D25:D30)</f>
        <v>-1071.49</v>
      </c>
      <c r="E31" s="10" t="n">
        <f aca="false">SUM(E25:E30)</f>
        <v>147</v>
      </c>
      <c r="F31" s="10" t="n">
        <f aca="false">SUM(F25:F30)</f>
        <v>135.38</v>
      </c>
    </row>
    <row r="33" customFormat="false" ht="15" hidden="false" customHeight="false" outlineLevel="0" collapsed="false">
      <c r="B33" s="6" t="s">
        <v>149</v>
      </c>
    </row>
    <row r="34" customFormat="false" ht="15" hidden="false" customHeight="false" outlineLevel="0" collapsed="false">
      <c r="B34" s="7" t="s">
        <v>150</v>
      </c>
      <c r="C34" s="8" t="n">
        <f aca="false">'Raw Data (BS)'!$C$11-'Raw Data (BS)'!$B$11</f>
        <v>-33.43</v>
      </c>
      <c r="D34" s="8" t="n">
        <f aca="false">'Raw Data (BS)'!$D$11-'Raw Data (BS)'!$C$11</f>
        <v>141.6</v>
      </c>
      <c r="E34" s="8" t="n">
        <f aca="false">'Raw Data (BS)'!$E$11-'Raw Data (BS)'!$D$11</f>
        <v>-227.1</v>
      </c>
      <c r="F34" s="8" t="n">
        <f aca="false">'Raw Data (BS)'!$F$11-'Raw Data (BS)'!$E$11</f>
        <v>11.32</v>
      </c>
    </row>
    <row r="35" customFormat="false" ht="15" hidden="false" customHeight="false" outlineLevel="0" collapsed="false">
      <c r="B35" s="7" t="s">
        <v>151</v>
      </c>
      <c r="C35" s="8" t="n">
        <f aca="false">'Raw Data (BS)'!$C$17-'Raw Data (BS)'!$B$17</f>
        <v>28.95</v>
      </c>
      <c r="D35" s="8" t="n">
        <f aca="false">'Raw Data (BS)'!$D$17-'Raw Data (BS)'!$C$17</f>
        <v>636.6</v>
      </c>
      <c r="E35" s="8" t="n">
        <f aca="false">'Raw Data (BS)'!$E$17-'Raw Data (BS)'!$D$17</f>
        <v>-36.9199999999998</v>
      </c>
      <c r="F35" s="8" t="n">
        <f aca="false">'Raw Data (BS)'!$F$17-'Raw Data (BS)'!$E$17</f>
        <v>-79.8000000000001</v>
      </c>
    </row>
    <row r="36" customFormat="false" ht="15" hidden="false" customHeight="false" outlineLevel="0" collapsed="false">
      <c r="B36" s="7" t="s">
        <v>152</v>
      </c>
      <c r="C36" s="8" t="n">
        <f aca="false">'Raw Data (BS)'!$C$5-'Raw Data (BS)'!$B$5</f>
        <v>0</v>
      </c>
      <c r="D36" s="8" t="n">
        <f aca="false">'Raw Data (BS)'!$D$5-'Raw Data (BS)'!$C$5</f>
        <v>0</v>
      </c>
      <c r="E36" s="8" t="n">
        <f aca="false">'Raw Data (BS)'!$E$5-'Raw Data (BS)'!$D$5</f>
        <v>0</v>
      </c>
      <c r="F36" s="8" t="n">
        <f aca="false">'Raw Data (BS)'!$F$5-'Raw Data (BS)'!$E$5</f>
        <v>-0.00999999999999801</v>
      </c>
    </row>
    <row r="37" customFormat="false" ht="15" hidden="false" customHeight="false" outlineLevel="0" collapsed="false">
      <c r="B37" s="7" t="s">
        <v>153</v>
      </c>
      <c r="C37" s="8" t="n">
        <f aca="false">-'Raw Data (P&amp;L)'!$C$15</f>
        <v>-45.87</v>
      </c>
      <c r="D37" s="8" t="n">
        <f aca="false">-'Raw Data (P&amp;L)'!$D$15</f>
        <v>-98.44</v>
      </c>
      <c r="E37" s="8" t="n">
        <f aca="false">-'Raw Data (P&amp;L)'!$E$15</f>
        <v>-69.6</v>
      </c>
      <c r="F37" s="8" t="n">
        <f aca="false">-'Raw Data (P&amp;L)'!$F$15</f>
        <v>-78.68</v>
      </c>
    </row>
    <row r="38" customFormat="false" ht="15" hidden="false" customHeight="false" outlineLevel="0" collapsed="false">
      <c r="B38" s="7" t="s">
        <v>154</v>
      </c>
      <c r="C38" s="8" t="n">
        <f aca="false">-('Raw Data (P&amp;L)'!$C$42+'Raw Data (P&amp;L)'!$C$43)</f>
        <v>-0</v>
      </c>
      <c r="D38" s="8" t="n">
        <f aca="false">-('Raw Data (P&amp;L)'!$D$42+'Raw Data (P&amp;L)'!$D$43)</f>
        <v>-9.88</v>
      </c>
      <c r="E38" s="8" t="n">
        <f aca="false">-('Raw Data (P&amp;L)'!$E$42+'Raw Data (P&amp;L)'!$E$43)</f>
        <v>-9.87</v>
      </c>
      <c r="F38" s="8" t="n">
        <f aca="false">-('Raw Data (P&amp;L)'!$F$42+'Raw Data (P&amp;L)'!$F$43)</f>
        <v>-9.87</v>
      </c>
    </row>
    <row r="39" customFormat="false" ht="15" hidden="false" customHeight="false" outlineLevel="0" collapsed="false">
      <c r="B39" s="9" t="s">
        <v>155</v>
      </c>
      <c r="C39" s="10" t="n">
        <f aca="false">SUM(C34:C38)</f>
        <v>-50.35</v>
      </c>
      <c r="D39" s="10" t="n">
        <f aca="false">SUM(D34:D38)</f>
        <v>669.88</v>
      </c>
      <c r="E39" s="10" t="n">
        <f aca="false">SUM(E34:E38)</f>
        <v>-343.49</v>
      </c>
      <c r="F39" s="10" t="n">
        <f aca="false">SUM(F34:F38)</f>
        <v>-157.04</v>
      </c>
    </row>
    <row r="41" customFormat="false" ht="15" hidden="false" customHeight="false" outlineLevel="0" collapsed="false">
      <c r="B41" s="6" t="s">
        <v>156</v>
      </c>
    </row>
    <row r="42" customFormat="false" ht="15" hidden="false" customHeight="false" outlineLevel="0" collapsed="false">
      <c r="B42" s="9" t="s">
        <v>157</v>
      </c>
      <c r="C42" s="10" t="n">
        <f aca="false">C22+C31+C39</f>
        <v>248.64</v>
      </c>
      <c r="D42" s="10" t="n">
        <f aca="false">D22+D31+D39</f>
        <v>-647.54</v>
      </c>
      <c r="E42" s="10" t="n">
        <f aca="false">E22+E31+E39</f>
        <v>-40.0599999999999</v>
      </c>
      <c r="F42" s="10" t="n">
        <f aca="false">F22+F31+F39</f>
        <v>125.68</v>
      </c>
    </row>
    <row r="43" customFormat="false" ht="15" hidden="false" customHeight="false" outlineLevel="0" collapsed="false">
      <c r="B43" s="7" t="s">
        <v>158</v>
      </c>
      <c r="C43" s="8" t="n">
        <f aca="false">'Raw Data (BS)'!$C$39-'Raw Data (BS)'!$B$39</f>
        <v>-1.11</v>
      </c>
      <c r="D43" s="8" t="n">
        <f aca="false">'Raw Data (BS)'!$D$39-'Raw Data (BS)'!$C$39</f>
        <v>74</v>
      </c>
      <c r="E43" s="8" t="n">
        <f aca="false">'Raw Data (BS)'!$E$39-'Raw Data (BS)'!$D$39</f>
        <v>-39.75</v>
      </c>
      <c r="F43" s="8" t="n">
        <f aca="false">'Raw Data (BS)'!$F$39-'Raw Data (BS)'!$E$39</f>
        <v>-14.59</v>
      </c>
    </row>
    <row r="44" customFormat="false" ht="15" hidden="false" customHeight="false" outlineLevel="0" collapsed="false">
      <c r="B44" s="7" t="s">
        <v>159</v>
      </c>
      <c r="C44" s="8" t="n">
        <f aca="false">C42-C43</f>
        <v>249.75</v>
      </c>
      <c r="D44" s="8" t="n">
        <f aca="false">D42-D43</f>
        <v>-721.54</v>
      </c>
      <c r="E44" s="8" t="n">
        <f aca="false">E42-E43</f>
        <v>-0.309999999999945</v>
      </c>
      <c r="F44" s="8" t="n">
        <f aca="false">F42-F43</f>
        <v>140.27</v>
      </c>
    </row>
    <row r="46" customFormat="false" ht="15" hidden="false" customHeight="false" outlineLevel="0" collapsed="false">
      <c r="B46" s="9" t="s">
        <v>160</v>
      </c>
      <c r="C46" s="10" t="n">
        <f aca="false">C22+C25</f>
        <v>224.34</v>
      </c>
      <c r="D46" s="10" t="n">
        <f aca="false">D22+D25</f>
        <v>-598.08</v>
      </c>
      <c r="E46" s="10" t="n">
        <f aca="false">E22+E25</f>
        <v>-19.98</v>
      </c>
      <c r="F46" s="10" t="n">
        <f aca="false">F22+F25</f>
        <v>61.89</v>
      </c>
    </row>
  </sheetData>
  <mergeCells count="1"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3"/>
  </cols>
  <sheetData>
    <row r="2" customFormat="false" ht="19.7" hidden="false" customHeight="false" outlineLevel="0" collapsed="false">
      <c r="B2" s="1" t="s">
        <v>161</v>
      </c>
    </row>
    <row r="5" customFormat="false" ht="15" hidden="false" customHeight="false" outlineLevel="0" collapsed="false">
      <c r="B5" s="4" t="s">
        <v>162</v>
      </c>
      <c r="C5" s="4" t="s">
        <v>23</v>
      </c>
      <c r="D5" s="4" t="s">
        <v>24</v>
      </c>
      <c r="E5" s="4" t="s">
        <v>25</v>
      </c>
      <c r="F5" s="4" t="s">
        <v>26</v>
      </c>
    </row>
    <row r="6" customFormat="false" ht="15" hidden="false" customHeight="false" outlineLevel="0" collapsed="false">
      <c r="B6" s="7" t="s">
        <v>163</v>
      </c>
      <c r="C6" s="11" t="n">
        <f aca="false">'Derived Cash Flow Statement'!C22</f>
        <v>10.0399999999999</v>
      </c>
      <c r="D6" s="11" t="n">
        <f aca="false">'Derived Cash Flow Statement'!D22</f>
        <v>-245.93</v>
      </c>
      <c r="E6" s="11" t="n">
        <f aca="false">'Derived Cash Flow Statement'!E22</f>
        <v>156.43</v>
      </c>
      <c r="F6" s="11" t="n">
        <f aca="false">'Derived Cash Flow Statement'!F22</f>
        <v>147.34</v>
      </c>
    </row>
    <row r="7" customFormat="false" ht="15" hidden="false" customHeight="false" outlineLevel="0" collapsed="false">
      <c r="B7" s="7" t="s">
        <v>164</v>
      </c>
      <c r="C7" s="11" t="n">
        <f aca="false">'Derived Cash Flow Statement'!C46</f>
        <v>224.34</v>
      </c>
      <c r="D7" s="11" t="n">
        <f aca="false">'Derived Cash Flow Statement'!D46</f>
        <v>-598.08</v>
      </c>
      <c r="E7" s="11" t="n">
        <f aca="false">'Derived Cash Flow Statement'!E46</f>
        <v>-19.98</v>
      </c>
      <c r="F7" s="11" t="n">
        <f aca="false">'Derived Cash Flow Statement'!F46</f>
        <v>61.89</v>
      </c>
    </row>
    <row r="8" customFormat="false" ht="15" hidden="false" customHeight="false" outlineLevel="0" collapsed="false">
      <c r="B8" s="7" t="s">
        <v>165</v>
      </c>
      <c r="C8" s="12" t="n">
        <f aca="false">'Derived Cash Flow Statement'!C22/'Raw Data (P&amp;L)'!$C$7</f>
        <v>0.0190115508426433</v>
      </c>
      <c r="D8" s="12" t="n">
        <f aca="false">'Derived Cash Flow Statement'!D22/'Raw Data (P&amp;L)'!$D$7</f>
        <v>-0.188925506825532</v>
      </c>
      <c r="E8" s="12" t="n">
        <f aca="false">'Derived Cash Flow Statement'!E22/'Raw Data (P&amp;L)'!$E$7</f>
        <v>0.112908348129863</v>
      </c>
      <c r="F8" s="12" t="n">
        <f aca="false">'Derived Cash Flow Statement'!F22/'Raw Data (P&amp;L)'!$F$7</f>
        <v>0.102888187480797</v>
      </c>
    </row>
    <row r="9" customFormat="false" ht="15" hidden="false" customHeight="false" outlineLevel="0" collapsed="false">
      <c r="B9" s="7" t="s">
        <v>166</v>
      </c>
      <c r="C9" s="11" t="n">
        <f aca="false">'Derived Cash Flow Statement'!C22/(-'Derived Cash Flow Statement'!C25+'Raw Data (P&amp;L)'!$C$42+'Raw Data (P&amp;L)'!$C$43)</f>
        <v>-0.0468502099860007</v>
      </c>
      <c r="D9" s="11" t="n">
        <f aca="false">'Derived Cash Flow Statement'!D22/(-'Derived Cash Flow Statement'!D25+'Raw Data (P&amp;L)'!$D$42+'Raw Data (P&amp;L)'!$D$43)</f>
        <v>-0.679308344612325</v>
      </c>
      <c r="E9" s="11" t="n">
        <f aca="false">'Derived Cash Flow Statement'!E22/(-'Derived Cash Flow Statement'!E25+'Raw Data (P&amp;L)'!$E$42+'Raw Data (P&amp;L)'!$E$43)</f>
        <v>0.839757354520077</v>
      </c>
      <c r="F9" s="11" t="n">
        <f aca="false">'Derived Cash Flow Statement'!F22/(-'Derived Cash Flow Statement'!F25+'Raw Data (P&amp;L)'!$F$42+'Raw Data (P&amp;L)'!$F$43)</f>
        <v>1.54574066302979</v>
      </c>
    </row>
    <row r="10" customFormat="false" ht="15" hidden="false" customHeight="false" outlineLevel="0" collapsed="false">
      <c r="B10" s="7" t="s">
        <v>167</v>
      </c>
      <c r="C10" s="11" t="n">
        <f aca="false">'Derived Cash Flow Statement'!C22/('Raw Data (BS)'!$C$11+'Raw Data (BS)'!$C$17)</f>
        <v>0.0185342440465201</v>
      </c>
      <c r="D10" s="11" t="n">
        <f aca="false">'Derived Cash Flow Statement'!D22/('Raw Data (BS)'!$D$11+'Raw Data (BS)'!$D$17)</f>
        <v>-0.186324721569816</v>
      </c>
      <c r="E10" s="11" t="n">
        <f aca="false">'Derived Cash Flow Statement'!E22/('Raw Data (BS)'!$E$11+'Raw Data (BS)'!$E$17)</f>
        <v>0.148151305072546</v>
      </c>
      <c r="F10" s="11" t="n">
        <f aca="false">'Derived Cash Flow Statement'!F22/('Raw Data (BS)'!$F$11+'Raw Data (BS)'!$F$17)</f>
        <v>0.149220174194855</v>
      </c>
    </row>
    <row r="11" customFormat="false" ht="15" hidden="false" customHeight="false" outlineLevel="0" collapsed="false">
      <c r="B11" s="7" t="s">
        <v>168</v>
      </c>
      <c r="C11" s="11" t="str">
        <f aca="false">IF('Derived Cash Flow Statement'!C22&gt;0,"CFO Positive","CFO Negative")</f>
        <v>CFO Positive</v>
      </c>
      <c r="D11" s="11" t="str">
        <f aca="false">IF('Derived Cash Flow Statement'!D22&gt;0,"CFO Positive","CFO Negative")</f>
        <v>CFO Negative</v>
      </c>
      <c r="E11" s="11" t="str">
        <f aca="false">IF('Derived Cash Flow Statement'!E22&gt;0,"CFO Positive","CFO Negative")</f>
        <v>CFO Positive</v>
      </c>
      <c r="F11" s="11" t="str">
        <f aca="false">IF('Derived Cash Flow Statement'!F22&gt;0,"CFO Positive","CFO Negative")</f>
        <v>CFO Positive</v>
      </c>
    </row>
    <row r="13" customFormat="false" ht="15" hidden="false" customHeight="false" outlineLevel="0" collapsed="false">
      <c r="B13" s="6" t="s">
        <v>169</v>
      </c>
    </row>
    <row r="14" customFormat="false" ht="69.75" hidden="false" customHeight="true" outlineLevel="0" collapsed="false">
      <c r="B14" s="5" t="s">
        <v>170</v>
      </c>
      <c r="C14" s="5"/>
      <c r="D14" s="5"/>
      <c r="E14" s="5"/>
      <c r="F14" s="5"/>
    </row>
  </sheetData>
  <mergeCells count="1"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171</v>
      </c>
    </row>
    <row r="4" customFormat="false" ht="39.75" hidden="false" customHeight="true" outlineLevel="0" collapsed="false">
      <c r="B4" s="5" t="s">
        <v>172</v>
      </c>
      <c r="C4" s="5"/>
      <c r="D4" s="5"/>
      <c r="E4" s="5"/>
      <c r="F4" s="5"/>
    </row>
    <row r="7" customFormat="false" ht="15" hidden="false" customHeight="false" outlineLevel="0" collapsed="false">
      <c r="B7" s="4" t="s">
        <v>173</v>
      </c>
      <c r="C7" s="4" t="s">
        <v>163</v>
      </c>
      <c r="D7" s="4" t="s">
        <v>174</v>
      </c>
      <c r="E7" s="4" t="s">
        <v>175</v>
      </c>
      <c r="F7" s="4" t="s">
        <v>176</v>
      </c>
    </row>
    <row r="8" customFormat="false" ht="15" hidden="false" customHeight="false" outlineLevel="0" collapsed="false">
      <c r="B8" s="13" t="s">
        <v>177</v>
      </c>
      <c r="C8" s="13" t="n">
        <v>14884</v>
      </c>
      <c r="D8" s="13" t="n">
        <v>-5324</v>
      </c>
      <c r="E8" s="13" t="n">
        <v>-10034</v>
      </c>
      <c r="F8" s="13" t="n">
        <v>13992</v>
      </c>
    </row>
    <row r="9" customFormat="false" ht="15" hidden="false" customHeight="false" outlineLevel="0" collapsed="false">
      <c r="B9" s="13" t="s">
        <v>178</v>
      </c>
      <c r="C9" s="13" t="n">
        <v>4340</v>
      </c>
      <c r="D9" s="13" t="n">
        <v>-1404</v>
      </c>
      <c r="E9" s="13" t="n">
        <v>-3133</v>
      </c>
      <c r="F9" s="13" t="n">
        <v>2458</v>
      </c>
    </row>
    <row r="10" customFormat="false" ht="15" hidden="false" customHeight="false" outlineLevel="0" collapsed="false">
      <c r="B10" s="13" t="s">
        <v>179</v>
      </c>
      <c r="C10" s="13" t="n">
        <v>762</v>
      </c>
      <c r="D10" s="13" t="n">
        <v>-522</v>
      </c>
      <c r="E10" s="13" t="n">
        <v>-116</v>
      </c>
      <c r="F10" s="13" t="n">
        <v>468</v>
      </c>
    </row>
    <row r="11" customFormat="false" ht="15" hidden="false" customHeight="false" outlineLevel="0" collapsed="false">
      <c r="B11" s="13" t="s">
        <v>180</v>
      </c>
      <c r="C11" s="13" t="n">
        <v>2096</v>
      </c>
      <c r="D11" s="13" t="n">
        <v>-1765</v>
      </c>
      <c r="E11" s="13" t="n">
        <v>-526</v>
      </c>
      <c r="F11" s="13" t="n">
        <v>1310</v>
      </c>
    </row>
    <row r="12" customFormat="false" ht="15" hidden="false" customHeight="false" outlineLevel="0" collapsed="false">
      <c r="B12" s="13" t="s">
        <v>181</v>
      </c>
      <c r="C12" s="13" t="n">
        <v>19992</v>
      </c>
      <c r="D12" s="13" t="n">
        <v>-98282</v>
      </c>
      <c r="E12" s="13" t="n">
        <v>82415</v>
      </c>
      <c r="F12" s="13" t="n">
        <v>18954</v>
      </c>
    </row>
    <row r="32" customFormat="false" ht="15" hidden="false" customHeight="false" outlineLevel="0" collapsed="false">
      <c r="B32" s="6" t="s">
        <v>182</v>
      </c>
    </row>
    <row r="33" customFormat="false" ht="54.75" hidden="false" customHeight="true" outlineLevel="0" collapsed="false">
      <c r="B33" s="5" t="s">
        <v>183</v>
      </c>
      <c r="C33" s="5"/>
      <c r="D33" s="5"/>
      <c r="E33" s="5"/>
      <c r="F33" s="5"/>
    </row>
    <row r="34" customFormat="false" ht="54.75" hidden="false" customHeight="true" outlineLevel="0" collapsed="false">
      <c r="B34" s="5" t="s">
        <v>184</v>
      </c>
      <c r="C34" s="5"/>
      <c r="D34" s="5"/>
      <c r="E34" s="5"/>
      <c r="F34" s="5"/>
    </row>
    <row r="35" customFormat="false" ht="54.75" hidden="false" customHeight="true" outlineLevel="0" collapsed="false">
      <c r="B35" s="5" t="s">
        <v>185</v>
      </c>
      <c r="C35" s="5"/>
      <c r="D35" s="5"/>
      <c r="E35" s="5"/>
      <c r="F35" s="5"/>
    </row>
  </sheetData>
  <mergeCells count="4">
    <mergeCell ref="B4:F4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3"/>
  </cols>
  <sheetData>
    <row r="2" customFormat="false" ht="19.7" hidden="false" customHeight="false" outlineLevel="0" collapsed="false">
      <c r="B2" s="1" t="s">
        <v>186</v>
      </c>
    </row>
    <row r="5" customFormat="false" ht="15" hidden="false" customHeight="false" outlineLevel="0" collapsed="false">
      <c r="B5" s="4" t="s">
        <v>187</v>
      </c>
      <c r="C5" s="4" t="s">
        <v>23</v>
      </c>
      <c r="D5" s="4" t="s">
        <v>24</v>
      </c>
      <c r="E5" s="4" t="s">
        <v>25</v>
      </c>
      <c r="F5" s="4" t="s">
        <v>26</v>
      </c>
    </row>
    <row r="6" customFormat="false" ht="15" hidden="false" customHeight="false" outlineLevel="0" collapsed="false">
      <c r="B6" s="9" t="s">
        <v>188</v>
      </c>
      <c r="C6" s="8" t="n">
        <f aca="false">'Derived Cash Flow Statement'!C22</f>
        <v>10.0399999999999</v>
      </c>
      <c r="D6" s="8" t="n">
        <f aca="false">'Derived Cash Flow Statement'!D22</f>
        <v>-245.93</v>
      </c>
      <c r="E6" s="8" t="n">
        <f aca="false">'Derived Cash Flow Statement'!E22</f>
        <v>156.43</v>
      </c>
      <c r="F6" s="8" t="n">
        <f aca="false">'Derived Cash Flow Statement'!F22</f>
        <v>147.34</v>
      </c>
    </row>
    <row r="7" customFormat="false" ht="15" hidden="false" customHeight="false" outlineLevel="0" collapsed="false">
      <c r="B7" s="9" t="s">
        <v>189</v>
      </c>
      <c r="C7" s="8" t="n">
        <f aca="false">'Derived Cash Flow Statement'!C31</f>
        <v>288.95</v>
      </c>
      <c r="D7" s="8" t="n">
        <f aca="false">'Derived Cash Flow Statement'!D31</f>
        <v>-1071.49</v>
      </c>
      <c r="E7" s="8" t="n">
        <f aca="false">'Derived Cash Flow Statement'!E31</f>
        <v>147</v>
      </c>
      <c r="F7" s="8" t="n">
        <f aca="false">'Derived Cash Flow Statement'!F31</f>
        <v>135.38</v>
      </c>
    </row>
    <row r="8" customFormat="false" ht="15" hidden="false" customHeight="false" outlineLevel="0" collapsed="false">
      <c r="B8" s="9" t="s">
        <v>190</v>
      </c>
      <c r="C8" s="8" t="n">
        <f aca="false">'Derived Cash Flow Statement'!C39</f>
        <v>-50.35</v>
      </c>
      <c r="D8" s="8" t="n">
        <f aca="false">'Derived Cash Flow Statement'!D39</f>
        <v>669.88</v>
      </c>
      <c r="E8" s="8" t="n">
        <f aca="false">'Derived Cash Flow Statement'!E39</f>
        <v>-343.49</v>
      </c>
      <c r="F8" s="8" t="n">
        <f aca="false">'Derived Cash Flow Statement'!F39</f>
        <v>-157.04</v>
      </c>
    </row>
    <row r="9" customFormat="false" ht="15" hidden="false" customHeight="false" outlineLevel="0" collapsed="false">
      <c r="B9" s="9" t="s">
        <v>191</v>
      </c>
      <c r="C9" s="8" t="n">
        <f aca="false">'Derived Cash Flow Statement'!C46</f>
        <v>224.34</v>
      </c>
      <c r="D9" s="8" t="n">
        <f aca="false">'Derived Cash Flow Statement'!D46</f>
        <v>-598.08</v>
      </c>
      <c r="E9" s="8" t="n">
        <f aca="false">'Derived Cash Flow Statement'!E46</f>
        <v>-19.98</v>
      </c>
      <c r="F9" s="8" t="n">
        <f aca="false">'Derived Cash Flow Statement'!F46</f>
        <v>61.89</v>
      </c>
    </row>
    <row r="10" customFormat="false" ht="15" hidden="false" customHeight="false" outlineLevel="0" collapsed="false">
      <c r="B10" s="9" t="s">
        <v>192</v>
      </c>
      <c r="C10" s="8" t="n">
        <f aca="false">'Derived Cash Flow Statement'!C44</f>
        <v>249.75</v>
      </c>
      <c r="D10" s="8" t="n">
        <f aca="false">'Derived Cash Flow Statement'!D44</f>
        <v>-721.54</v>
      </c>
      <c r="E10" s="8" t="n">
        <f aca="false">'Derived Cash Flow Statement'!E44</f>
        <v>-0.309999999999945</v>
      </c>
      <c r="F10" s="8" t="n">
        <f aca="false">'Derived Cash Flow Statement'!F44</f>
        <v>140.27</v>
      </c>
    </row>
    <row r="12" customFormat="false" ht="15" hidden="false" customHeight="false" outlineLevel="0" collapsed="false">
      <c r="B12" s="6" t="s">
        <v>193</v>
      </c>
    </row>
    <row r="13" customFormat="false" ht="109.5" hidden="false" customHeight="true" outlineLevel="0" collapsed="false">
      <c r="B13" s="5" t="s">
        <v>194</v>
      </c>
      <c r="C13" s="5"/>
      <c r="D13" s="5"/>
      <c r="E13" s="5"/>
      <c r="F13" s="5"/>
    </row>
  </sheetData>
  <mergeCells count="1"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2026-09-12T14:22:06Z</dcterms:created>
  <dc:creator>openpyxl</dc:creator>
  <dc:description/>
  <dc:language>en-US</dc:language>
  <cp:lastModifiedBy/>
  <dcterms:modified xsi:type="dcterms:W3CDTF">2026-09-12T14:22:10Z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